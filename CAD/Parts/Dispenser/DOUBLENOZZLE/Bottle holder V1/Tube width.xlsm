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Jelle\Bottle holder\"/>
    </mc:Choice>
  </mc:AlternateContent>
  <xr:revisionPtr revIDLastSave="0" documentId="13_ncr:1_{719DCE18-3425-4EDD-B88A-B63AB1CC2EC7}" xr6:coauthVersionLast="47" xr6:coauthVersionMax="47" xr10:uidLastSave="{00000000-0000-0000-0000-000000000000}"/>
  <bookViews>
    <workbookView xWindow="-120" yWindow="-120" windowWidth="29040" windowHeight="15840" xr2:uid="{DF8C79F4-3680-4495-80F0-960DC7A31133}"/>
  </bookViews>
  <sheets>
    <sheet name="Sheet1" sheetId="1" r:id="rId1"/>
  </sheets>
  <functionGroups builtInGroupCount="19"/>
  <definedNames>
    <definedName name="_xlnm._FilterDatabase" localSheetId="0" hidden="1">Sheet1!$A$1:$C$11</definedName>
    <definedName name="solver_adj" localSheetId="0" hidden="1">Sheet1!$E$1:$F$1</definedName>
    <definedName name="solver_cvg" localSheetId="0" hidden="1">0.0001</definedName>
    <definedName name="solver_drv" localSheetId="0" hidden="1">1</definedName>
    <definedName name="solver_eng" localSheetId="0" hidden="1">1</definedName>
    <definedName name="solver_est" localSheetId="0" hidden="1">1</definedName>
    <definedName name="solver_itr" localSheetId="0" hidden="1">2147483647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0</definedName>
    <definedName name="solver_nwt" localSheetId="0" hidden="1">1</definedName>
    <definedName name="solver_opt" localSheetId="0" hidden="1">Sheet1!$F$14</definedName>
    <definedName name="solver_pre" localSheetId="0" hidden="1">0.000001</definedName>
    <definedName name="solver_rbv" localSheetId="0" hidden="1">1</definedName>
    <definedName name="solver_rlx" localSheetId="0" hidden="1">2</definedName>
    <definedName name="solver_rsd" localSheetId="0" hidden="1">0</definedName>
    <definedName name="solver_scl" localSheetId="0" hidden="1">1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2</definedName>
    <definedName name="solver_val" localSheetId="0" hidden="1">0</definedName>
    <definedName name="solver_ver" localSheetId="0" hidden="1">3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8" i="1" l="1"/>
  <c r="C8" i="1"/>
  <c r="E8" i="1" s="1"/>
  <c r="B9" i="1"/>
  <c r="B10" i="1"/>
  <c r="B3" i="1"/>
  <c r="B6" i="1"/>
  <c r="B11" i="1"/>
  <c r="B4" i="1"/>
  <c r="B7" i="1"/>
  <c r="B5" i="1"/>
  <c r="B2" i="1"/>
  <c r="C6" i="1" l="1"/>
  <c r="E6" i="1" s="1"/>
  <c r="C10" i="1"/>
  <c r="E10" i="1" s="1"/>
  <c r="C9" i="1"/>
  <c r="E9" i="1" s="1"/>
  <c r="C5" i="1"/>
  <c r="E5" i="1" s="1"/>
  <c r="C7" i="1"/>
  <c r="E7" i="1" s="1"/>
  <c r="C4" i="1"/>
  <c r="E4" i="1" s="1"/>
  <c r="C11" i="1"/>
  <c r="E11" i="1" s="1"/>
  <c r="C3" i="1"/>
  <c r="E3" i="1" s="1"/>
  <c r="F5" i="1" l="1"/>
  <c r="F3" i="1"/>
  <c r="C2" i="1"/>
  <c r="E2" i="1" s="1"/>
  <c r="F14" i="1" l="1"/>
</calcChain>
</file>

<file path=xl/sharedStrings.xml><?xml version="1.0" encoding="utf-8"?>
<sst xmlns="http://schemas.openxmlformats.org/spreadsheetml/2006/main" count="18" uniqueCount="18">
  <si>
    <t>in</t>
  </si>
  <si>
    <t>mm</t>
  </si>
  <si>
    <t>1/16</t>
  </si>
  <si>
    <t>1/8</t>
  </si>
  <si>
    <t>1/4</t>
  </si>
  <si>
    <t>5/16</t>
  </si>
  <si>
    <t>3/16</t>
  </si>
  <si>
    <t>5/8</t>
  </si>
  <si>
    <t>1/2</t>
  </si>
  <si>
    <t>3/4</t>
  </si>
  <si>
    <t>7/8</t>
  </si>
  <si>
    <t>3/8</t>
  </si>
  <si>
    <t>inner mm</t>
  </si>
  <si>
    <t>S^2</t>
  </si>
  <si>
    <t>A</t>
  </si>
  <si>
    <t>B</t>
  </si>
  <si>
    <t>ΣS^2</t>
  </si>
  <si>
    <t>inner mm nodig = 3.12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</si>
</sst>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5" formatCode="0.000"/>
    <numFmt numFmtId="191" formatCode="0.000000"/>
  </numFmts>
  <fonts count="2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49" fontId="0" fillId="0" borderId="0" xfId="0" applyNumberFormat="1"/>
    <xf numFmtId="165" fontId="0" fillId="0" borderId="0" xfId="0" applyNumberFormat="1"/>
    <xf numFmtId="0" fontId="0" fillId="2" borderId="0" xfId="0" applyFill="1"/>
    <xf numFmtId="0" fontId="0" fillId="0" borderId="0" xfId="0" applyAlignment="1">
      <alignment horizontal="center"/>
    </xf>
    <xf numFmtId="191" fontId="0" fillId="0" borderId="0" xfId="0" applyNumberFormat="1"/>
    <xf numFmtId="49" fontId="0" fillId="0" borderId="0" xfId="0" applyNumberFormat="1" applyAlignment="1">
      <alignment horizontal="righ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8688FB-757C-4C9C-AD24-649ECDDB47BE}">
  <sheetPr codeName="Sheet1"/>
  <dimension ref="A1:F16"/>
  <sheetViews>
    <sheetView tabSelected="1" workbookViewId="0">
      <selection activeCell="G25" sqref="G25"/>
    </sheetView>
  </sheetViews>
  <sheetFormatPr defaultRowHeight="15" x14ac:dyDescent="0.25"/>
  <cols>
    <col min="1" max="1" width="9.140625" style="1"/>
  </cols>
  <sheetData>
    <row r="1" spans="1:6" x14ac:dyDescent="0.25">
      <c r="A1" s="4" t="s">
        <v>0</v>
      </c>
      <c r="B1" s="4"/>
      <c r="C1" t="s">
        <v>1</v>
      </c>
      <c r="D1" s="4" t="s">
        <v>12</v>
      </c>
      <c r="E1" s="4"/>
      <c r="F1" t="s">
        <v>13</v>
      </c>
    </row>
    <row r="2" spans="1:6" x14ac:dyDescent="0.25">
      <c r="A2" s="6" t="s">
        <v>2</v>
      </c>
      <c r="B2" s="2">
        <f ca="1">Eval("="&amp;A2)</f>
        <v>6.25E-2</v>
      </c>
      <c r="C2" s="2">
        <f ca="1">CONVERT(B2,"in","mm")</f>
        <v>1.5874999999999999</v>
      </c>
      <c r="E2">
        <f ca="1">($C2*F$15-F$16)</f>
        <v>0.13000027855072516</v>
      </c>
    </row>
    <row r="3" spans="1:6" x14ac:dyDescent="0.25">
      <c r="A3" s="6" t="s">
        <v>3</v>
      </c>
      <c r="B3" s="2">
        <f ca="1">Eval("="&amp;A3)</f>
        <v>0.125</v>
      </c>
      <c r="C3" s="2">
        <f ca="1">CONVERT(B3,"in","mm")</f>
        <v>3.1749999999999998</v>
      </c>
      <c r="D3">
        <v>0.8</v>
      </c>
      <c r="E3">
        <f ca="1">($C3*F$15-F$16)</f>
        <v>0.80000027855700839</v>
      </c>
      <c r="F3">
        <f ca="1">($D3-E3)^2</f>
        <v>7.7594006900097877E-14</v>
      </c>
    </row>
    <row r="4" spans="1:6" x14ac:dyDescent="0.25">
      <c r="A4" s="6" t="s">
        <v>6</v>
      </c>
      <c r="B4" s="2">
        <f ca="1">Eval("="&amp;A4)</f>
        <v>0.1875</v>
      </c>
      <c r="C4" s="2">
        <f ca="1">CONVERT(B4,"in","mm")</f>
        <v>4.7625000000000002</v>
      </c>
      <c r="E4">
        <f ca="1">($C4*F$15-F$16)</f>
        <v>1.470000278563292</v>
      </c>
    </row>
    <row r="5" spans="1:6" x14ac:dyDescent="0.25">
      <c r="A5" s="6" t="s">
        <v>4</v>
      </c>
      <c r="B5" s="2">
        <f ca="1">Eval("="&amp;A5)</f>
        <v>0.25</v>
      </c>
      <c r="C5" s="2">
        <f ca="1">CONVERT(B5,"in","mm")</f>
        <v>6.35</v>
      </c>
      <c r="D5">
        <v>2.14</v>
      </c>
      <c r="E5">
        <f ca="1">($C5*F$15-F$16)</f>
        <v>2.1400002785695751</v>
      </c>
      <c r="F5">
        <f ca="1">($D5-E5)^2</f>
        <v>7.76010080950511E-14</v>
      </c>
    </row>
    <row r="6" spans="1:6" x14ac:dyDescent="0.25">
      <c r="A6" s="6" t="s">
        <v>5</v>
      </c>
      <c r="B6" s="2">
        <f ca="1">Eval("="&amp;A6)</f>
        <v>0.3125</v>
      </c>
      <c r="C6" s="2">
        <f ca="1">CONVERT(B6,"in","mm")</f>
        <v>7.9375</v>
      </c>
      <c r="E6">
        <f ca="1">($C6*F$15-F$16)</f>
        <v>2.8100002785758589</v>
      </c>
    </row>
    <row r="7" spans="1:6" x14ac:dyDescent="0.25">
      <c r="A7" s="6" t="s">
        <v>11</v>
      </c>
      <c r="B7" s="2">
        <f ca="1">Eval("="&amp;A7)</f>
        <v>0.375</v>
      </c>
      <c r="C7" s="2">
        <f ca="1">CONVERT(B7,"in","mm")</f>
        <v>9.5250000000000004</v>
      </c>
      <c r="E7">
        <f ca="1">($C7*F$15-F$16)</f>
        <v>3.4800002785821418</v>
      </c>
    </row>
    <row r="8" spans="1:6" x14ac:dyDescent="0.25">
      <c r="A8" s="6" t="s">
        <v>8</v>
      </c>
      <c r="B8" s="2">
        <f ca="1">Eval("="&amp;A8)</f>
        <v>0.5</v>
      </c>
      <c r="C8" s="2">
        <f ca="1">CONVERT(B8,"in","mm")</f>
        <v>12.7</v>
      </c>
      <c r="E8">
        <f ca="1">($C8*F$15-F$16)</f>
        <v>4.8200002785947076</v>
      </c>
    </row>
    <row r="9" spans="1:6" x14ac:dyDescent="0.25">
      <c r="A9" s="6" t="s">
        <v>7</v>
      </c>
      <c r="B9" s="2">
        <f ca="1">Eval("="&amp;A9)</f>
        <v>0.625</v>
      </c>
      <c r="C9" s="2">
        <f ca="1">CONVERT(B9,"in","mm")</f>
        <v>15.875</v>
      </c>
      <c r="E9">
        <f ca="1">($C9*F$15-F$16)</f>
        <v>6.1600002786072752</v>
      </c>
    </row>
    <row r="10" spans="1:6" x14ac:dyDescent="0.25">
      <c r="A10" s="6" t="s">
        <v>9</v>
      </c>
      <c r="B10" s="2">
        <f ca="1">Eval("="&amp;A10)</f>
        <v>0.75</v>
      </c>
      <c r="C10" s="2">
        <f ca="1">CONVERT(B10,"in","mm")</f>
        <v>19.05</v>
      </c>
      <c r="E10">
        <f ca="1">($C10*F$15-F$16)</f>
        <v>7.5000002786198419</v>
      </c>
    </row>
    <row r="11" spans="1:6" x14ac:dyDescent="0.25">
      <c r="A11" s="6" t="s">
        <v>10</v>
      </c>
      <c r="B11" s="2">
        <f ca="1">Eval("="&amp;A11)</f>
        <v>0.875</v>
      </c>
      <c r="C11" s="2">
        <f ca="1">CONVERT(B11,"in","mm")</f>
        <v>22.225000000000001</v>
      </c>
      <c r="E11">
        <f ca="1">($C11*F$15-F$16)</f>
        <v>8.8400002786324094</v>
      </c>
    </row>
    <row r="12" spans="1:6" x14ac:dyDescent="0.25">
      <c r="D12" s="1" t="s">
        <v>17</v>
      </c>
    </row>
    <row r="14" spans="1:6" x14ac:dyDescent="0.25">
      <c r="E14" t="s">
        <v>16</v>
      </c>
      <c r="F14" s="5">
        <f ca="1">SUM(F2:F11)</f>
        <v>1.5519501499514898E-13</v>
      </c>
    </row>
    <row r="15" spans="1:6" x14ac:dyDescent="0.25">
      <c r="E15" t="s">
        <v>14</v>
      </c>
      <c r="F15" s="3">
        <v>0.42204724409844618</v>
      </c>
    </row>
    <row r="16" spans="1:6" x14ac:dyDescent="0.25">
      <c r="E16" t="s">
        <v>15</v>
      </c>
      <c r="F16" s="3">
        <v>0.53999972145555808</v>
      </c>
    </row>
  </sheetData>
  <autoFilter ref="A1:C11" xr:uid="{448688FB-757C-4C9C-AD24-649ECDDB47BE}">
    <sortState xmlns:xlrd2="http://schemas.microsoft.com/office/spreadsheetml/2017/richdata2" ref="A2:C12">
      <sortCondition ref="C1:C11"/>
    </sortState>
  </autoFilter>
  <mergeCells count="2">
    <mergeCell ref="D1:E1"/>
    <mergeCell ref="A1:B1"/>
  </mergeCells>
  <phoneticPr fontId="1" type="noConversion"/>
  <conditionalFormatting sqref="C12:C1048576 C1">
    <cfRule type="colorScale" priority="2">
      <colorScale>
        <cfvo type="num" val="3.11"/>
        <cfvo type="num" val="3.12"/>
        <cfvo type="max"/>
        <color rgb="FFFF0000"/>
        <color rgb="FF00B050"/>
        <color theme="0" tint="-4.9989318521683403E-2"/>
      </colorScale>
    </cfRule>
  </conditionalFormatting>
  <pageMargins left="0.7" right="0.7" top="0.75" bottom="0.75" header="0.3" footer="0.3"/>
  <pageSetup paperSize="9" orientation="portrait" r:id="rId1"/>
  <ignoredErrors>
    <ignoredError sqref="A2:A4 A5:A6" twoDigitTextYear="1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Jelle Wietsma</dc:creator>
  <cp:lastModifiedBy>Jelle Wietsma</cp:lastModifiedBy>
  <cp:lastPrinted>2022-11-04T08:45:33Z</cp:lastPrinted>
  <dcterms:created xsi:type="dcterms:W3CDTF">2022-11-04T06:51:43Z</dcterms:created>
  <dcterms:modified xsi:type="dcterms:W3CDTF">2022-11-04T14:38:29Z</dcterms:modified>
</cp:coreProperties>
</file>