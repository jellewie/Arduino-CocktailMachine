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Pinout" sheetId="2" state="visible" r:id="rId4"/>
    <sheet name="Drinks" sheetId="3" state="visible" r:id="rId5"/>
    <sheet name="Fluids" sheetId="4" state="visible" r:id="rId6"/>
    <sheet name="Glasses &amp; #s" sheetId="5" state="visible" r:id="rId7"/>
    <sheet name="Calc" sheetId="6" state="visible" r:id="rId8"/>
    <sheet name="Led section" sheetId="7" state="visible" r:id="rId9"/>
    <sheet name="Calibrate msml" sheetId="8" state="visible" r:id="rId10"/>
  </sheets>
  <definedNames>
    <definedName function="false" hidden="false" name="ColNames" vbProcedure="false">Fluids!$C$2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<sst xmlns="http://schemas.openxmlformats.org/spreadsheetml/2006/main" count="810" uniqueCount="359">
  <si>
    <t xml:space="preserve">Description</t>
  </si>
  <si>
    <t xml:space="preserve">Amount</t>
  </si>
  <si>
    <t xml:space="preserve">Comments</t>
  </si>
  <si>
    <t xml:space="preserve">Link buy</t>
  </si>
  <si>
    <t xml:space="preserve">Link info</t>
  </si>
  <si>
    <t xml:space="preserve">Piece price</t>
  </si>
  <si>
    <t xml:space="preserve">Shipping</t>
  </si>
  <si>
    <t xml:space="preserve">Total</t>
  </si>
  <si>
    <t xml:space="preserve">---</t>
  </si>
  <si>
    <t xml:space="preserve">Peristaltic Pump,12V (We use zy-1000f5)</t>
  </si>
  <si>
    <t xml:space="preserve">Only needed for carbonated liquids</t>
  </si>
  <si>
    <t xml:space="preserve">https://www.banggood.com/500mL-or-min-Large-Flow-Easy-To-Install-Peristaltic-Pump-12V-or-24V-Metering-Vacuum-Pump-Flat-Type-Aquarium-p-1749029.html https://nl.aliexpress.com/item/1005004441796531.html?spm=a2g0o.order_list.0.0.d52c79d2o45Zo0&amp;gatewayAdapt=glo2nld</t>
  </si>
  <si>
    <t xml:space="preserve">https://youtu.be/AMiXme4bMUk</t>
  </si>
  <si>
    <t xml:space="preserve">Pullys</t>
  </si>
  <si>
    <t xml:space="preserve">https://www.123-3d.nl/123-3D-GT2-Pulley-hoge-resolutie-met-lager-6-mm-riem-20-tanden-5-mm-as-zwart-i2546-t0.html</t>
  </si>
  <si>
    <t xml:space="preserve"> </t>
  </si>
  <si>
    <t xml:space="preserve">Motor pullys</t>
  </si>
  <si>
    <t xml:space="preserve">https://www.123-3d.nl/123-3D-GT2-Pulley-hoge-resolutie-6-mm-riem-20-tanden-5-mm-as-zwart-400211009-i2547-t0.html</t>
  </si>
  <si>
    <t xml:space="preserve">Reininforced belt 6mm wide</t>
  </si>
  <si>
    <t xml:space="preserve">2.7m needed</t>
  </si>
  <si>
    <t xml:space="preserve">https://www.123-3d.nl/123-3D-GT2-timing-belt-6-mm-5-meter-i6541-t3046.html</t>
  </si>
  <si>
    <t xml:space="preserve">Leadscrew moer, TR8x8</t>
  </si>
  <si>
    <t xml:space="preserve">https://www.123-3d.nl/123-3D-Leadscrew-moer-TR8x8-i1560-t0.html</t>
  </si>
  <si>
    <t xml:space="preserve">Leadscrew, TR8x8, 8 mm</t>
  </si>
  <si>
    <t xml:space="preserve">This one is 30cm, unsure what we need</t>
  </si>
  <si>
    <t xml:space="preserve">https://www.123-3d.nl/123-3D-Leadscrew-TR8x8-8-mm-30-cm-i1558-t0.html</t>
  </si>
  <si>
    <t xml:space="preserve">Staaf as glad 8 m</t>
  </si>
  <si>
    <t xml:space="preserve">This one is 100cm, unsure what we need</t>
  </si>
  <si>
    <t xml:space="preserve">https://www.123-3d.nl/123-3D-Staaf-as-glad-8-mm-x-100-cm-voor-X-of-Y-as-i56-t0.html</t>
  </si>
  <si>
    <t xml:space="preserve">Flexibele motor koppeling 5 mm - 8 mm</t>
  </si>
  <si>
    <t xml:space="preserve">https://www.123-3d.nl/123-3D-Flexibele-motor-koppeling-5-mm-8-mm-i342-t0.html</t>
  </si>
  <si>
    <t xml:space="preserve">Frame end caps 2020 (3d print)</t>
  </si>
  <si>
    <t xml:space="preserve">Print in black</t>
  </si>
  <si>
    <t xml:space="preserve">https://www.thingiverse.com/thing:2393904</t>
  </si>
  <si>
    <t xml:space="preserve">Drink dispensers (6 way)</t>
  </si>
  <si>
    <t xml:space="preserve">Spraypaint black</t>
  </si>
  <si>
    <t xml:space="preserve">https://www.bol.com/nl/nl/p/white-rhinoceros-drank-dispenser-bar-butler-shots-muurdispenser-voor-6-flessen/9300000007705748/?Referrer=ENTcli_order_confirmation2008093611</t>
  </si>
  <si>
    <t xml:space="preserve">V frame (black 1500mm)</t>
  </si>
  <si>
    <t xml:space="preserve">Cut in sizes: 2x750 + 2x353.5 + 2x396.5mm</t>
  </si>
  <si>
    <t xml:space="preserve">https://www.ratrig.com/aluminium-profiles/vslot/v-slot-2020-637.html</t>
  </si>
  <si>
    <t xml:space="preserve">Frame corner profiles</t>
  </si>
  <si>
    <t xml:space="preserve">https://nl.aliexpress.com/item/1005003618509458.html</t>
  </si>
  <si>
    <t xml:space="preserve">Wood (Gamma)</t>
  </si>
  <si>
    <t xml:space="preserve">2x30x80cm</t>
  </si>
  <si>
    <t xml:space="preserve">16x2 LCD Display I2C</t>
  </si>
  <si>
    <t xml:space="preserve">https://elektronicavoorjou.nl/product/16x2-lcd-wit-op-blauw-5v-met-i2c/</t>
  </si>
  <si>
    <t xml:space="preserve">M3x10</t>
  </si>
  <si>
    <t xml:space="preserve">https://www.indi.nl/nl-nl/p/Cilindrische-inbusbout-M3x10-12.9-zwart-DIN912-912310129B</t>
  </si>
  <si>
    <t xml:space="preserve">M3x30</t>
  </si>
  <si>
    <t xml:space="preserve">https://www.indi.nl/nl-nl/p/Cilindrische-inbusbout-M3x30-12.9-zwart-DIN912-912330129B</t>
  </si>
  <si>
    <t xml:space="preserve">M5x10</t>
  </si>
  <si>
    <t xml:space="preserve">https://www.indi.nl/nl-nl/p/Cilindrische-inbusbout-M5x10-12.9-zwart-DIN912-912510129B</t>
  </si>
  <si>
    <t xml:space="preserve">M5x20</t>
  </si>
  <si>
    <t xml:space="preserve">https://www.indi.nl/nl-nl/p/Cilindrische-inbusbout-M5x20-12.9-zwart-DIN912-912520129B</t>
  </si>
  <si>
    <t xml:space="preserve">M5x30</t>
  </si>
  <si>
    <t xml:space="preserve">https://www.indi.nl/nl-nl/p/Cilindrische-inbusbout-M5x30-12.9-zwart-DIN912-912530129B</t>
  </si>
  <si>
    <t xml:space="preserve">M5x40</t>
  </si>
  <si>
    <t xml:space="preserve">https://www.indi.nl/nl-nl/p/Cilindrische-inbusbout-M5x40-12.9-zwart-DIN912-912540129B</t>
  </si>
  <si>
    <t xml:space="preserve">M5x50</t>
  </si>
  <si>
    <t xml:space="preserve">https://www.indi.nl/nl-nl/p/Cilindrische-inbusbout-M5X50-12.9-zwart-DIN912-912550129B</t>
  </si>
  <si>
    <t xml:space="preserve">M5x60</t>
  </si>
  <si>
    <t xml:space="preserve">https://www.indi.nl/nl-nl/p/Cilindrische-inbusbout-M5x60-12.9-zwart-DIN912-912560129B</t>
  </si>
  <si>
    <t xml:space="preserve">M5x80</t>
  </si>
  <si>
    <t xml:space="preserve">https://www.indi.nl/nl-nl/p/Cilindrische-inbusbout-M5x80-12.9-zwart-DIN912-912580129B</t>
  </si>
  <si>
    <t xml:space="preserve">Moer</t>
  </si>
  <si>
    <t xml:space="preserve">https://www.indi.nl/nl-nl/p/Zeskantmoer-M5-klasse-8-verzinkt-DIN934-9345P100</t>
  </si>
  <si>
    <t xml:space="preserve">Borgmoer</t>
  </si>
  <si>
    <t xml:space="preserve">https://www.gamma.nl/assortiment/gamma-borgmoer-m5-rvs-8-stuks/p/B458288</t>
  </si>
  <si>
    <t xml:space="preserve">V-slot wheels</t>
  </si>
  <si>
    <t xml:space="preserve">JLC PCB</t>
  </si>
  <si>
    <t xml:space="preserve">(minimum 5 pieces)</t>
  </si>
  <si>
    <t xml:space="preserve">PCB-TMC2208 motor controller</t>
  </si>
  <si>
    <t xml:space="preserve">X, Y, Z</t>
  </si>
  <si>
    <t xml:space="preserve">https://nl.aliexpress.com/item/1005004014058136.html</t>
  </si>
  <si>
    <t xml:space="preserve">https://wiki.fysetc.com/TMC2208/</t>
  </si>
  <si>
    <t xml:space="preserve">Microswitch</t>
  </si>
  <si>
    <t xml:space="preserve">Used for homing, not as limit switch</t>
  </si>
  <si>
    <t xml:space="preserve">https://www.hobbyelectronica.nl/product/endstop-mechanisch-microswitch/</t>
  </si>
  <si>
    <t xml:space="preserve">Tubing 5x7</t>
  </si>
  <si>
    <t xml:space="preserve">https://www.kiwi-electronics.com/nl/siliconen-slang-5x7mm-2-meter-10188</t>
  </si>
  <si>
    <t xml:space="preserve">Tubing 2x4</t>
  </si>
  <si>
    <t xml:space="preserve">https://www.slangenshop.nl/home/22-siliconen-slang-2-x-4-mm-.html</t>
  </si>
  <si>
    <t xml:space="preserve">Tubing 3x5</t>
  </si>
  <si>
    <t xml:space="preserve">https://www.slangenshop.nl/home/25-siliconen-slang-3-x-5-mm-.html</t>
  </si>
  <si>
    <t xml:space="preserve">Tubing 4x6</t>
  </si>
  <si>
    <t xml:space="preserve">https://www.slangenshop.nl/home/24-siliconen-slang-4-x-6-mm-.html?search_query=Siliconen+slang+4&amp;results=24</t>
  </si>
  <si>
    <t xml:space="preserve">0826B 0.5-20N 8mm</t>
  </si>
  <si>
    <t xml:space="preserve">https://www.aliexpress.com/item/1005004016711403.html?spm=a2g0o.cart.0.0.603638daNtRRN5&amp;mp=1</t>
  </si>
  <si>
    <t xml:space="preserve">1050B 4.5-50N 15mm</t>
  </si>
  <si>
    <t xml:space="preserve">Motion Film Pressure Sensor 100g</t>
  </si>
  <si>
    <t xml:space="preserve">https://www.aliexpress.com/item/32878178151.html?spm=a2g0o.cart.0.0.603638daNtRRN5&amp;mp=1</t>
  </si>
  <si>
    <t xml:space="preserve">Motion Film Pressure Sensor 1kg</t>
  </si>
  <si>
    <t xml:space="preserve">Solenoid Valve 4.5mm inner 12V</t>
  </si>
  <si>
    <t xml:space="preserve">https://www.aliexpress.com/item/1005005553905520.html?spm=a2g0o.cart.0.0.603638daNtRRN5&amp;mp=1</t>
  </si>
  <si>
    <t xml:space="preserve">CNC W202502152128202</t>
  </si>
  <si>
    <t xml:space="preserve">CNC W202410082342933</t>
  </si>
  <si>
    <t xml:space="preserve">CNC CNC2403305000117-2352374A</t>
  </si>
  <si>
    <t xml:space="preserve">SUBTOTAAL</t>
  </si>
  <si>
    <t xml:space="preserve">Steppermotor</t>
  </si>
  <si>
    <t xml:space="preserve">We actually use 1.8deg 2.4Ohm</t>
  </si>
  <si>
    <t xml:space="preserve">https://www.hobbyelectronica.nl/product/nema-17-stappen-motor-42byghw609/?gclid=CjwKCAjwzeqVBhAoEiwAOrEmzQjIdiWzwSG4m0PU8pULIl3Q7mAKpvSpVphw8W75q5Q6bFC5tXKSYxoC3OMQAvD_BwE</t>
  </si>
  <si>
    <t xml:space="preserve">Connector MTA-100-2P</t>
  </si>
  <si>
    <t xml:space="preserve">Connector MTA-100-3P</t>
  </si>
  <si>
    <t xml:space="preserve">Connector MTA-100-4P</t>
  </si>
  <si>
    <t xml:space="preserve">Connector MTA-156-2P</t>
  </si>
  <si>
    <t xml:space="preserve">PCB-MTA-100-2P</t>
  </si>
  <si>
    <t xml:space="preserve">H2,H3,H4,H11,H12,H13,H14</t>
  </si>
  <si>
    <t xml:space="preserve">PCB-MTA-100-3P</t>
  </si>
  <si>
    <t xml:space="preserve">for LED D=H5</t>
  </si>
  <si>
    <t xml:space="preserve">http://www.te.com/commerce/DocumentDelivery/DDEController?Action=srchrtrv&amp;DocNm=640454&amp;DocType=Customer+Drawing&amp;DocLang=English&amp;PartCntxt=640454-5</t>
  </si>
  <si>
    <t xml:space="preserve">PCB-MTA-100-4P</t>
  </si>
  <si>
    <t xml:space="preserve">H8, H9, H10,H16</t>
  </si>
  <si>
    <t xml:space="preserve">PCB-MTA-156-2P</t>
  </si>
  <si>
    <t xml:space="preserve">H6, H7</t>
  </si>
  <si>
    <t xml:space="preserve">PCB-L2203N</t>
  </si>
  <si>
    <t xml:space="preserve">Q1,Q2,Q3,Q4</t>
  </si>
  <si>
    <t xml:space="preserve">PCB-C0805 100nF</t>
  </si>
  <si>
    <t xml:space="preserve">C1,C2,C3,C4,C5,C6</t>
  </si>
  <si>
    <t xml:space="preserve">PCB-R0805 1k</t>
  </si>
  <si>
    <t xml:space="preserve">R1,R2,R3,R4,R5,R6,R7</t>
  </si>
  <si>
    <t xml:space="preserve">PCB-R0805 100R</t>
  </si>
  <si>
    <t xml:space="preserve">R8</t>
  </si>
  <si>
    <t xml:space="preserve">PCB-R0805 10R</t>
  </si>
  <si>
    <t xml:space="preserve">R9</t>
  </si>
  <si>
    <t xml:space="preserve">PCB-DOIT ESP32 DEVKIT V1</t>
  </si>
  <si>
    <t xml:space="preserve">U1</t>
  </si>
  <si>
    <t xml:space="preserve">PCB-R78B5020</t>
  </si>
  <si>
    <t xml:space="preserve">U2</t>
  </si>
  <si>
    <t xml:space="preserve">https://nl.farnell.com/recom-power/r-78b5-0-1-0l/dc-dc-converter-5v-1a/dp/1793162</t>
  </si>
  <si>
    <t xml:space="preserve">PCB-SIL header</t>
  </si>
  <si>
    <t xml:space="preserve">Steppers, H1</t>
  </si>
  <si>
    <t xml:space="preserve">12V power supply</t>
  </si>
  <si>
    <t xml:space="preserve">Wires</t>
  </si>
  <si>
    <t xml:space="preserve">Wire sleeves?</t>
  </si>
  <si>
    <t xml:space="preserve">PCBway Dispensers</t>
  </si>
  <si>
    <t xml:space="preserve">0805 4.7UH</t>
  </si>
  <si>
    <t xml:space="preserve">https://nl.aliexpress.com/item/1005006311167114.html?spm=a2g0o.order_list.order_list_main.5.3f8379d22lLZlI&amp;gatewayAdapt=glo2nld</t>
  </si>
  <si>
    <t xml:space="preserve">heatshrink</t>
  </si>
  <si>
    <t xml:space="preserve">https://nl.aliexpress.com/item/1005006321995370.html?spm=a2g0o.order_list.order_list_main.17.3f8379d22lLZlI&amp;gatewayAdapt=glo2nld</t>
  </si>
  <si>
    <t xml:space="preserve">Diode IN4007</t>
  </si>
  <si>
    <t xml:space="preserve">www.aliexpress.com/item/1005006852412154.html?spm=a2g0o.order_list.order_list_main.33.3f8379d22lLZlI</t>
  </si>
  <si>
    <t xml:space="preserve">ESP32 C3</t>
  </si>
  <si>
    <t xml:space="preserve">https://nl.aliexpress.com/item/1005007446928015.html?spm=a2g0o.order_list.order_list_main.70.3f8379d22lLZlI&amp;gatewayAdapt=glo2nld</t>
  </si>
  <si>
    <t xml:space="preserve">Dispenser magnet</t>
  </si>
  <si>
    <t xml:space="preserve">https://nl.aliexpress.com/item/1005006531774076.html?spm=a2g0o.order_list.order_list_main.81.3f8379d22lLZlI&amp;gatewayAdapt=glo2nld</t>
  </si>
  <si>
    <t xml:space="preserve">O-rings dispenserbold</t>
  </si>
  <si>
    <t xml:space="preserve">https://nl.aliexpress.com/item/1005008478445571.html?spm=a2g0o.order_list.order_list_main.101.3f8379d22lLZlI&amp;gatewayAdapt=glo2nld</t>
  </si>
  <si>
    <t xml:space="preserve">M5 bolt 5mm</t>
  </si>
  <si>
    <t xml:space="preserve">https://nl.aliexpress.com/item/32810872544.html?spm=a2g0o.order_list.order_list_main.140.3f8379d22lLZlI&amp;gatewayAdapt=glo2nld</t>
  </si>
  <si>
    <t xml:space="preserve">M4 bolt 10mm</t>
  </si>
  <si>
    <t xml:space="preserve">https://nl.aliexpress.com/item/32810872544.html?spm=a2g0o.order_list.order_list_main.145.3f8379d22lLZlI&amp;gatewayAdapt=glo2nld</t>
  </si>
  <si>
    <t xml:space="preserve">M3 bolt 5mm</t>
  </si>
  <si>
    <t xml:space="preserve">Capacitor 47uF </t>
  </si>
  <si>
    <t xml:space="preserve">www.aliexpress.com/item/1005002047657907.html?spm=a2g0o.order_list.order_list_main.150.3f8379d22lLZlI</t>
  </si>
  <si>
    <t xml:space="preserve">8 DIP header</t>
  </si>
  <si>
    <t xml:space="preserve">https://www.aliexpress.com/item/1005006995121970.html?spm=a2g0o.order_list.order_list_main.205.3f8379d22lLZlI</t>
  </si>
  <si>
    <t xml:space="preserve">Pin headeer</t>
  </si>
  <si>
    <t xml:space="preserve">https://nl.aliexpress.com/item/1005006149080284.html?spm=a2g0o.order_list.order_list_main.211.3f8379d22lLZlI&amp;gatewayAdapt=glo2nld</t>
  </si>
  <si>
    <t xml:space="preserve">Mini valves</t>
  </si>
  <si>
    <t xml:space="preserve">https://www.aliexpress.com/item/1005006358997795.html?spm=a2g0o.order_list.order_list_main.225.3f8379d22lLZlI</t>
  </si>
  <si>
    <t xml:space="preserve">transistor AO3416</t>
  </si>
  <si>
    <t xml:space="preserve">https://www.aliexpress.com/item/1005005013827080.html?spm=a2g0o.order_list.order_list_main.271.3f8379d22lLZlI</t>
  </si>
  <si>
    <t xml:space="preserve">Diode LL4148</t>
  </si>
  <si>
    <t xml:space="preserve">https://nl.aliexpress.com/item/1005002748966091.html?spm=a2g0o.order_list.order_list_main.280.3f8379d22lLZlI&amp;gatewayAdapt=glo2nld</t>
  </si>
  <si>
    <t xml:space="preserve">Rubber bottle end piece</t>
  </si>
  <si>
    <t xml:space="preserve">https://www.bol.com/nl/nl/p/kurk-zwart-pe-in-perfect-afsluitende-vorm-tbv-non-drips-of-maatschenkers-ten-behoeve-van-0-7-1-5-l-flessen/9200000107083693/</t>
  </si>
  <si>
    <t xml:space="preserve">3D prints</t>
  </si>
  <si>
    <t xml:space="preserve">Valve 46.008.116</t>
  </si>
  <si>
    <t xml:space="preserve">https://www.libertyshop.de/Magnetventile/A-u-K--Mueller/Blockventile----Vending/Serie-46-008-x16---Ventile/Mueller-Blockventil-1-fach-24-V-AC-46-008-116-Neue-Version.html</t>
  </si>
  <si>
    <t xml:space="preserve">TOTAAL</t>
  </si>
  <si>
    <t xml:space="preserve">GPIO</t>
  </si>
  <si>
    <t xml:space="preserve">Input</t>
  </si>
  <si>
    <t xml:space="preserve">Output</t>
  </si>
  <si>
    <t xml:space="preserve">Notes</t>
  </si>
  <si>
    <t xml:space="preserve">pulled up</t>
  </si>
  <si>
    <t xml:space="preserve">OK</t>
  </si>
  <si>
    <t xml:space="preserve">outputs PWM signal at boot</t>
  </si>
  <si>
    <t xml:space="preserve">NU</t>
  </si>
  <si>
    <t xml:space="preserve">was</t>
  </si>
  <si>
    <t xml:space="preserve">TX pin</t>
  </si>
  <si>
    <t xml:space="preserve">debug output at boot</t>
  </si>
  <si>
    <t xml:space="preserve">TX</t>
  </si>
  <si>
    <t xml:space="preserve">connected to on-board LED</t>
  </si>
  <si>
    <t xml:space="preserve">LED</t>
  </si>
  <si>
    <t xml:space="preserve">RX pin</t>
  </si>
  <si>
    <t xml:space="preserve">HIGH at boot</t>
  </si>
  <si>
    <t xml:space="preserve">RX</t>
  </si>
  <si>
    <t xml:space="preserve">PDO_X_Step</t>
  </si>
  <si>
    <t xml:space="preserve">PDI_X_Ref</t>
  </si>
  <si>
    <t xml:space="preserve">PDO_Y_Step</t>
  </si>
  <si>
    <t xml:space="preserve">boot fail if pulled high</t>
  </si>
  <si>
    <t xml:space="preserve">LED_PWM</t>
  </si>
  <si>
    <t xml:space="preserve">PDI_B</t>
  </si>
  <si>
    <t xml:space="preserve">PDI_Z_Ref</t>
  </si>
  <si>
    <t xml:space="preserve">PDO_X_Dir</t>
  </si>
  <si>
    <t xml:space="preserve">PDO_Step_enable</t>
  </si>
  <si>
    <t xml:space="preserve">PDO_Y_Dir</t>
  </si>
  <si>
    <t xml:space="preserve">PDO_Z_Dir</t>
  </si>
  <si>
    <t xml:space="preserve">PDO_Z_Step</t>
  </si>
  <si>
    <t xml:space="preserve">I2C_SDA</t>
  </si>
  <si>
    <t xml:space="preserve">I2C_SCL</t>
  </si>
  <si>
    <t xml:space="preserve">PDO_Pump3</t>
  </si>
  <si>
    <t xml:space="preserve">PDO_Pump4</t>
  </si>
  <si>
    <t xml:space="preserve">PDI_Y_Ref</t>
  </si>
  <si>
    <t xml:space="preserve">PDI_A</t>
  </si>
  <si>
    <t xml:space="preserve">PDO_Pump1</t>
  </si>
  <si>
    <t xml:space="preserve">PDO_Pump2</t>
  </si>
  <si>
    <t xml:space="preserve">input only</t>
  </si>
  <si>
    <t xml:space="preserve">PDI_S</t>
  </si>
  <si>
    <t xml:space="preserve">Cocktail</t>
  </si>
  <si>
    <t xml:space="preserve">Color</t>
  </si>
  <si>
    <t xml:space="preserve">Ingredient 1</t>
  </si>
  <si>
    <t xml:space="preserve">ml</t>
  </si>
  <si>
    <t xml:space="preserve">Ingredient 2</t>
  </si>
  <si>
    <t xml:space="preserve">Ingredient 3</t>
  </si>
  <si>
    <t xml:space="preserve">Ingredient 4</t>
  </si>
  <si>
    <t xml:space="preserve">Ingredient 5</t>
  </si>
  <si>
    <t xml:space="preserve">Ingredient 6</t>
  </si>
  <si>
    <t xml:space="preserve">Ingredient 7</t>
  </si>
  <si>
    <t xml:space="preserve">Ingredient 8</t>
  </si>
  <si>
    <t xml:space="preserve">ml total</t>
  </si>
  <si>
    <t xml:space="preserve">Glass</t>
  </si>
  <si>
    <t xml:space="preserve">Sex on the Beach</t>
  </si>
  <si>
    <t xml:space="preserve">bab34</t>
  </si>
  <si>
    <t xml:space="preserve">#ice</t>
  </si>
  <si>
    <t xml:space="preserve">Vodka</t>
  </si>
  <si>
    <t xml:space="preserve">Peach Tree</t>
  </si>
  <si>
    <t xml:space="preserve">Orange juice</t>
  </si>
  <si>
    <t xml:space="preserve">#shake</t>
  </si>
  <si>
    <t xml:space="preserve">Cranberry juice</t>
  </si>
  <si>
    <t xml:space="preserve">Big</t>
  </si>
  <si>
    <t xml:space="preserve">Screwdriver</t>
  </si>
  <si>
    <t xml:space="preserve">e8d86d</t>
  </si>
  <si>
    <t xml:space="preserve">Orange Juice</t>
  </si>
  <si>
    <t xml:space="preserve">#stir</t>
  </si>
  <si>
    <t xml:space="preserve">Medium</t>
  </si>
  <si>
    <t xml:space="preserve">Cosmopolitan Classic</t>
  </si>
  <si>
    <t xml:space="preserve">e81058</t>
  </si>
  <si>
    <t xml:space="preserve">Triple Sec</t>
  </si>
  <si>
    <t xml:space="preserve">Lime juice</t>
  </si>
  <si>
    <t xml:space="preserve">Rock</t>
  </si>
  <si>
    <t xml:space="preserve">Bay Breeze</t>
  </si>
  <si>
    <t xml:space="preserve">ff8400</t>
  </si>
  <si>
    <t xml:space="preserve">Pineapple juice</t>
  </si>
  <si>
    <t xml:space="preserve">Hole in One</t>
  </si>
  <si>
    <t xml:space="preserve">e3c532</t>
  </si>
  <si>
    <t xml:space="preserve">Gimlet</t>
  </si>
  <si>
    <t xml:space="preserve">d5f5dd</t>
  </si>
  <si>
    <t xml:space="preserve">#crushed ice</t>
  </si>
  <si>
    <t xml:space="preserve">Gin</t>
  </si>
  <si>
    <t xml:space="preserve">Black widow</t>
  </si>
  <si>
    <t xml:space="preserve">800101</t>
  </si>
  <si>
    <t xml:space="preserve">Lemonade</t>
  </si>
  <si>
    <t xml:space="preserve">Gin Sidecar</t>
  </si>
  <si>
    <t xml:space="preserve">ced190</t>
  </si>
  <si>
    <t xml:space="preserve">Triple sec</t>
  </si>
  <si>
    <t xml:space="preserve">Lemon juice</t>
  </si>
  <si>
    <t xml:space="preserve">Little Devil</t>
  </si>
  <si>
    <t xml:space="preserve">db4f40</t>
  </si>
  <si>
    <t xml:space="preserve">White rum</t>
  </si>
  <si>
    <t xml:space="preserve">Hoola Hoop</t>
  </si>
  <si>
    <t xml:space="preserve">e3bc5b</t>
  </si>
  <si>
    <t xml:space="preserve">Hawaiian Cocktail</t>
  </si>
  <si>
    <t xml:space="preserve">edc766</t>
  </si>
  <si>
    <t xml:space="preserve">Alpine Lemonade</t>
  </si>
  <si>
    <t xml:space="preserve">f5e4bc</t>
  </si>
  <si>
    <t xml:space="preserve">Dark rum</t>
  </si>
  <si>
    <t xml:space="preserve">#blend</t>
  </si>
  <si>
    <t xml:space="preserve">Hula Hula</t>
  </si>
  <si>
    <t xml:space="preserve">baa165</t>
  </si>
  <si>
    <t xml:space="preserve">#strain</t>
  </si>
  <si>
    <t xml:space="preserve">Judge J Cocktail</t>
  </si>
  <si>
    <t xml:space="preserve">ed775f</t>
  </si>
  <si>
    <t xml:space="preserve">Rock Bottom</t>
  </si>
  <si>
    <t xml:space="preserve">f27157</t>
  </si>
  <si>
    <t xml:space="preserve">Tequila</t>
  </si>
  <si>
    <t xml:space="preserve">Beach Bum Shake</t>
  </si>
  <si>
    <t xml:space="preserve">e3a452</t>
  </si>
  <si>
    <t xml:space="preserve">Pussy popper</t>
  </si>
  <si>
    <t xml:space="preserve">db5740</t>
  </si>
  <si>
    <t xml:space="preserve">Grenadine syrup</t>
  </si>
  <si>
    <t xml:space="preserve">Brass Monkey</t>
  </si>
  <si>
    <t xml:space="preserve">f5b922</t>
  </si>
  <si>
    <t xml:space="preserve">Legspreader</t>
  </si>
  <si>
    <t xml:space="preserve">f0ecd5</t>
  </si>
  <si>
    <t xml:space="preserve">Liquid Bubble Gum</t>
  </si>
  <si>
    <t xml:space="preserve">FFFFFF</t>
  </si>
  <si>
    <t xml:space="preserve">Cola</t>
  </si>
  <si>
    <t xml:space="preserve">Desert Sunrise</t>
  </si>
  <si>
    <t xml:space="preserve">Absolute Vacation</t>
  </si>
  <si>
    <t xml:space="preserve">Hawaiian Seduction</t>
  </si>
  <si>
    <t xml:space="preserve">Hawaiian Sea Breeze</t>
  </si>
  <si>
    <t xml:space="preserve">Island Punch</t>
  </si>
  <si>
    <t xml:space="preserve">Jamaican Sunrise</t>
  </si>
  <si>
    <t xml:space="preserve">Montana Sunrise</t>
  </si>
  <si>
    <t xml:space="preserve">Pimp Daddy</t>
  </si>
  <si>
    <t xml:space="preserve">Adam Cocktail</t>
  </si>
  <si>
    <t xml:space="preserve">Long Island Taxi</t>
  </si>
  <si>
    <t xml:space="preserve">Caribe Cosmopolitan</t>
  </si>
  <si>
    <t xml:space="preserve">Key West Screwdriver</t>
  </si>
  <si>
    <t xml:space="preserve">Shark Tank</t>
  </si>
  <si>
    <t xml:space="preserve">A Gilligans Island</t>
  </si>
  <si>
    <t xml:space="preserve">Blind Bat</t>
  </si>
  <si>
    <t xml:space="preserve">Hot Sex Cocktail</t>
  </si>
  <si>
    <t xml:space="preserve">Bloody Nightmare</t>
  </si>
  <si>
    <t xml:space="preserve">Snoop Dogg</t>
  </si>
  <si>
    <t xml:space="preserve">Gin Citric</t>
  </si>
  <si>
    <t xml:space="preserve">Cat Cocktail</t>
  </si>
  <si>
    <t xml:space="preserve">Hard Dick</t>
  </si>
  <si>
    <t xml:space="preserve">Sprite</t>
  </si>
  <si>
    <t xml:space="preserve">Vodka soda</t>
  </si>
  <si>
    <t xml:space="preserve">964B00</t>
  </si>
  <si>
    <t xml:space="preserve">Rum and coke</t>
  </si>
  <si>
    <t xml:space="preserve">Margarita</t>
  </si>
  <si>
    <t xml:space="preserve">42F595</t>
  </si>
  <si>
    <t xml:space="preserve">Ingredient name</t>
  </si>
  <si>
    <t xml:space="preserve">Ingredient name in code</t>
  </si>
  <si>
    <t xml:space="preserve">Times used</t>
  </si>
  <si>
    <t xml:space="preserve">https://www.cocktailbuilder.com/</t>
  </si>
  <si>
    <t xml:space="preserve">SHOT</t>
  </si>
  <si>
    <t xml:space="preserve">Aanmaak limonade citroen</t>
  </si>
  <si>
    <t xml:space="preserve">PUMP</t>
  </si>
  <si>
    <t xml:space="preserve">Glass type</t>
  </si>
  <si>
    <t xml:space="preserve">Content (ml)</t>
  </si>
  <si>
    <t xml:space="preserve">Content (oz)</t>
  </si>
  <si>
    <t xml:space="preserve">Stir around with barspoon in glass</t>
  </si>
  <si>
    <t xml:space="preserve">Big glass</t>
  </si>
  <si>
    <t xml:space="preserve">https://www.ikea.com/nl/nl/p/pokal-glas-helder-glas-10270478/</t>
  </si>
  <si>
    <t xml:space="preserve">35cl</t>
  </si>
  <si>
    <t xml:space="preserve">Pour drink over a few times from shaker to glass</t>
  </si>
  <si>
    <t xml:space="preserve">Medium glass</t>
  </si>
  <si>
    <t xml:space="preserve">https://www.ikea.com/nl/nl/p/pokal-glas-helder-glas-30288241/</t>
  </si>
  <si>
    <t xml:space="preserve">37cl</t>
  </si>
  <si>
    <t xml:space="preserve">Shake in shaker, after that pour in glass</t>
  </si>
  <si>
    <t xml:space="preserve">Rock glass</t>
  </si>
  <si>
    <t xml:space="preserve">Pour in glass with strainer</t>
  </si>
  <si>
    <t xml:space="preserve">X</t>
  </si>
  <si>
    <t xml:space="preserve">First dispensers</t>
  </si>
  <si>
    <t xml:space="preserve">Last dispensers</t>
  </si>
  <si>
    <t xml:space="preserve">Pump/home</t>
  </si>
  <si>
    <t xml:space="preserve">Between two dispensers</t>
  </si>
  <si>
    <t xml:space="preserve">len</t>
  </si>
  <si>
    <t xml:space="preserve">TotalLEDs</t>
  </si>
  <si>
    <t xml:space="preserve">BedSize_X</t>
  </si>
  <si>
    <t xml:space="preserve">LocationX</t>
  </si>
  <si>
    <t xml:space="preserve">LEDPos</t>
  </si>
  <si>
    <t xml:space="preserve">Now</t>
  </si>
  <si>
    <t xml:space="preserve">Desired</t>
  </si>
  <si>
    <t xml:space="preserve">Ml at beginning</t>
  </si>
  <si>
    <t xml:space="preserve">ml dispensed</t>
  </si>
  <si>
    <t xml:space="preserve">Desmos plot</t>
  </si>
  <si>
    <t xml:space="preserve">ML actual</t>
  </si>
  <si>
    <t xml:space="preserve">MS/ML</t>
  </si>
  <si>
    <t xml:space="preserve">dispenserSettings.FluidLevel</t>
  </si>
  <si>
    <t xml:space="preserve">Dispensing</t>
  </si>
  <si>
    <t xml:space="preserve">TimeMSML</t>
  </si>
  <si>
    <t xml:space="preserve">raw delay</t>
  </si>
  <si>
    <t xml:space="preserve">Compensation factor</t>
  </si>
  <si>
    <t xml:space="preserve">Compensated delay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</si>
</sst>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€]#,##0.00"/>
    <numFmt numFmtId="166" formatCode="@"/>
    <numFmt numFmtId="167" formatCode="0.00%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u val="single"/>
      <sz val="11"/>
      <color rgb="FF0000FF"/>
      <name val="Arial"/>
      <family val="2"/>
      <charset val="1"/>
    </font>
    <font>
      <sz val="11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666666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74E13"/>
        <bgColor rgb="FF333333"/>
      </patternFill>
    </fill>
    <fill>
      <patternFill patternType="solid">
        <fgColor rgb="FFFF0000"/>
        <bgColor rgb="FF993300"/>
      </patternFill>
    </fill>
    <fill>
      <patternFill patternType="solid">
        <fgColor rgb="FFB6D7A8"/>
        <bgColor rgb="FFB7E1CD"/>
      </patternFill>
    </fill>
    <fill>
      <patternFill patternType="solid">
        <fgColor rgb="FF00FF00"/>
        <bgColor rgb="FF81D41A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B7B7B7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6AA84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B7E1CD"/>
        </patternFill>
      </fill>
    </dxf>
    <dxf>
      <fill>
        <patternFill>
          <bgColor rgb="FF6AA84F"/>
        </patternFill>
      </fill>
    </dxf>
    <dxf>
      <fill>
        <patternFill>
          <bgColor rgb="FFFF0000"/>
        </patternFill>
      </fill>
    </dxf>
    <dxf>
      <fill>
        <patternFill>
          <bgColor rgb="FFC9DAF8"/>
        </patternFill>
      </fill>
    </dxf>
    <dxf>
      <fill>
        <patternFill>
          <bgColor rgb="FFFF99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B6D7A8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66"/>
      <rgbColor rgb="FF969696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AMiXme4bMUk" TargetMode="External"/><Relationship Id="rId2" Type="http://schemas.openxmlformats.org/officeDocument/2006/relationships/hyperlink" Target="https://www.123-3d.nl/123-3D-GT2-Pulley-hoge-resolutie-met-lager-6-mm-riem-20-tanden-5-mm-as-zwart-i2546-t0.html" TargetMode="External"/><Relationship Id="rId3" Type="http://schemas.openxmlformats.org/officeDocument/2006/relationships/hyperlink" Target="https://www.123-3d.nl/123-3D-GT2-Pulley-hoge-resolutie-6-mm-riem-20-tanden-5-mm-as-zwart-400211009-i2547-t0.html" TargetMode="External"/><Relationship Id="rId4" Type="http://schemas.openxmlformats.org/officeDocument/2006/relationships/hyperlink" Target="https://www.123-3d.nl/123-3D-GT2-timing-belt-6-mm-5-meter-i6541-t3046.html" TargetMode="External"/><Relationship Id="rId5" Type="http://schemas.openxmlformats.org/officeDocument/2006/relationships/hyperlink" Target="https://www.123-3d.nl/123-3D-Leadscrew-moer-TR8x8-i1560-t0.html" TargetMode="External"/><Relationship Id="rId6" Type="http://schemas.openxmlformats.org/officeDocument/2006/relationships/hyperlink" Target="https://www.123-3d.nl/123-3D-Leadscrew-TR8x8-8-mm-30-cm-i1558-t0.html" TargetMode="External"/><Relationship Id="rId7" Type="http://schemas.openxmlformats.org/officeDocument/2006/relationships/hyperlink" Target="https://www.123-3d.nl/123-3D-Staaf-as-glad-8-mm-x-100-cm-voor-X-of-Y-as-i56-t0.html" TargetMode="External"/><Relationship Id="rId8" Type="http://schemas.openxmlformats.org/officeDocument/2006/relationships/hyperlink" Target="https://www.123-3d.nl/123-3D-Flexibele-motor-koppeling-5-mm-8-mm-i342-t0.html" TargetMode="External"/><Relationship Id="rId9" Type="http://schemas.openxmlformats.org/officeDocument/2006/relationships/hyperlink" Target="https://www.thingiverse.com/thing:2393904" TargetMode="External"/><Relationship Id="rId10" Type="http://schemas.openxmlformats.org/officeDocument/2006/relationships/hyperlink" Target="https://www.bol.com/nl/nl/p/white-rhinoceros-drank-dispenser-bar-butler-shots-muurdispenser-voor-6-flessen/9300000007705748/?Referrer=ENTcli_order_confirmation2008093611" TargetMode="External"/><Relationship Id="rId11" Type="http://schemas.openxmlformats.org/officeDocument/2006/relationships/hyperlink" Target="https://www.ratrig.com/aluminium-profiles/vslot/v-slot-2020-637.html" TargetMode="External"/><Relationship Id="rId12" Type="http://schemas.openxmlformats.org/officeDocument/2006/relationships/hyperlink" Target="https://nl.aliexpress.com/item/1005003618509458.html?_randl_currency=EUR&amp;_randl_shipto=NL&amp;src=google&amp;aff_fcid=3eed0d41eb694740b0acb9b3b642e43f-1653843606684-09973-UneMJZVf&amp;aff_fsk=UneMJZVf&amp;aff_platform=aaf&amp;sk=UneMJZVf&amp;aff_trace_key=3eed0d41eb694740b0acb9b" TargetMode="External"/><Relationship Id="rId13" Type="http://schemas.openxmlformats.org/officeDocument/2006/relationships/hyperlink" Target="https://elektronicavoorjou.nl/product/16x2-lcd-wit-op-blauw-5v-met-i2c/" TargetMode="External"/><Relationship Id="rId14" Type="http://schemas.openxmlformats.org/officeDocument/2006/relationships/hyperlink" Target="https://www.indi.nl/nl-nl/p/Cilindrische-inbusbout-M3x10-12.9-zwart-DIN912-912310129B" TargetMode="External"/><Relationship Id="rId15" Type="http://schemas.openxmlformats.org/officeDocument/2006/relationships/hyperlink" Target="https://www.indi.nl/nl-nl/p/Cilindrische-inbusbout-M3x30-12.9-zwart-DIN912-912330129B" TargetMode="External"/><Relationship Id="rId16" Type="http://schemas.openxmlformats.org/officeDocument/2006/relationships/hyperlink" Target="https://www.indi.nl/nl-nl/p/Cilindrische-inbusbout-M5x10-12.9-zwart-DIN912-912510129B" TargetMode="External"/><Relationship Id="rId17" Type="http://schemas.openxmlformats.org/officeDocument/2006/relationships/hyperlink" Target="https://www.indi.nl/nl-nl/p/Cilindrische-inbusbout-M5x20-12.9-zwart-DIN912-912520129B" TargetMode="External"/><Relationship Id="rId18" Type="http://schemas.openxmlformats.org/officeDocument/2006/relationships/hyperlink" Target="https://www.indi.nl/nl-nl/p/Cilindrische-inbusbout-M5x30-12.9-zwart-DIN912-912530129B" TargetMode="External"/><Relationship Id="rId19" Type="http://schemas.openxmlformats.org/officeDocument/2006/relationships/hyperlink" Target="https://www.indi.nl/nl-nl/p/Cilindrische-inbusbout-M5x40-12.9-zwart-DIN912-912540129B" TargetMode="External"/><Relationship Id="rId20" Type="http://schemas.openxmlformats.org/officeDocument/2006/relationships/hyperlink" Target="https://www.indi.nl/nl-nl/p/Cilindrische-inbusbout-M5X50-12.9-zwart-DIN912-912550129B" TargetMode="External"/><Relationship Id="rId21" Type="http://schemas.openxmlformats.org/officeDocument/2006/relationships/hyperlink" Target="https://www.indi.nl/nl-nl/p/Cilindrische-inbusbout-M5x60-12.9-zwart-DIN912-912560129B" TargetMode="External"/><Relationship Id="rId22" Type="http://schemas.openxmlformats.org/officeDocument/2006/relationships/hyperlink" Target="https://www.indi.nl/nl-nl/p/Cilindrische-inbusbout-M5x80-12.9-zwart-DIN912-912580129B" TargetMode="External"/><Relationship Id="rId23" Type="http://schemas.openxmlformats.org/officeDocument/2006/relationships/hyperlink" Target="https://www.indi.nl/nl-nl/p/Zeskantmoer-M5-klasse-8-verzinkt-DIN934-9345P100" TargetMode="External"/><Relationship Id="rId24" Type="http://schemas.openxmlformats.org/officeDocument/2006/relationships/hyperlink" Target="https://www.gamma.nl/assortiment/gamma-borgmoer-m5-rvs-8-stuks/p/B458288" TargetMode="External"/><Relationship Id="rId25" Type="http://schemas.openxmlformats.org/officeDocument/2006/relationships/hyperlink" Target="https://nl.aliexpress.com/item/1005004014058136.html" TargetMode="External"/><Relationship Id="rId26" Type="http://schemas.openxmlformats.org/officeDocument/2006/relationships/hyperlink" Target="https://wiki.fysetc.com/TMC2208/" TargetMode="External"/><Relationship Id="rId27" Type="http://schemas.openxmlformats.org/officeDocument/2006/relationships/hyperlink" Target="https://www.hobbyelectronica.nl/product/endstop-mechanisch-microswitch/" TargetMode="External"/><Relationship Id="rId28" Type="http://schemas.openxmlformats.org/officeDocument/2006/relationships/hyperlink" Target="https://www.kiwi-electronics.com/nl/siliconen-slang-5x7mm-2-meter-10188" TargetMode="External"/><Relationship Id="rId29" Type="http://schemas.openxmlformats.org/officeDocument/2006/relationships/hyperlink" Target="https://www.slangenshop.nl/home/22-siliconen-slang-2-x-4-mm-.html" TargetMode="External"/><Relationship Id="rId30" Type="http://schemas.openxmlformats.org/officeDocument/2006/relationships/hyperlink" Target="https://www.slangenshop.nl/home/25-siliconen-slang-3-x-5-mm-.html" TargetMode="External"/><Relationship Id="rId31" Type="http://schemas.openxmlformats.org/officeDocument/2006/relationships/hyperlink" Target="https://www.slangenshop.nl/home/24-siliconen-slang-4-x-6-mm-.html?search_query=Siliconen+slang+4&amp;results=24" TargetMode="External"/><Relationship Id="rId32" Type="http://schemas.openxmlformats.org/officeDocument/2006/relationships/hyperlink" Target="https://www.aliexpress.com/item/1005004016711403.html?spm=a2g0o.cart.0.0.603638daNtRRN5&amp;mp=1" TargetMode="External"/><Relationship Id="rId33" Type="http://schemas.openxmlformats.org/officeDocument/2006/relationships/hyperlink" Target="https://www.aliexpress.com/item/1005004016711403.html?spm=a2g0o.cart.0.0.603638daNtRRN5&amp;mp=1" TargetMode="External"/><Relationship Id="rId34" Type="http://schemas.openxmlformats.org/officeDocument/2006/relationships/hyperlink" Target="https://www.aliexpress.com/item/32878178151.html?spm=a2g0o.cart.0.0.603638daNtRRN5&amp;mp=1" TargetMode="External"/><Relationship Id="rId35" Type="http://schemas.openxmlformats.org/officeDocument/2006/relationships/hyperlink" Target="https://www.aliexpress.com/item/32878178151.html?spm=a2g0o.cart.0.0.603638daNtRRN5&amp;mp=1" TargetMode="External"/><Relationship Id="rId36" Type="http://schemas.openxmlformats.org/officeDocument/2006/relationships/hyperlink" Target="https://www.aliexpress.com/item/1005005553905520.html?spm=a2g0o.cart.0.0.603638daNtRRN5&amp;mp=1" TargetMode="External"/><Relationship Id="rId37" Type="http://schemas.openxmlformats.org/officeDocument/2006/relationships/hyperlink" Target="https://www.hobbyelectronica.nl/product/nema-17-stappen-motor-42byghw609/?gclid=CjwKCAjwzeqVBhAoEiwAOrEmzQjIdiWzwSG4m0PU8pULIl3Q7mAKpvSpVphw8W75q5Q6bFC5tXKSYxoC3OMQAvD_BwE" TargetMode="External"/><Relationship Id="rId38" Type="http://schemas.openxmlformats.org/officeDocument/2006/relationships/hyperlink" Target="http://www.te.com/commerce/DocumentDelivery/DDEController?Action=srchrtrv&amp;DocNm=640454&amp;DocType=Customer+Drawing&amp;DocLang=English&amp;PartCntxt=640454-5" TargetMode="External"/><Relationship Id="rId39" Type="http://schemas.openxmlformats.org/officeDocument/2006/relationships/hyperlink" Target="http://www.te.com/commerce/DocumentDelivery/DDEController?Action=srchrtrv&amp;DocNm=640454&amp;DocType=Customer+Drawing&amp;DocLang=English&amp;PartCntxt=640454-5" TargetMode="External"/><Relationship Id="rId40" Type="http://schemas.openxmlformats.org/officeDocument/2006/relationships/hyperlink" Target="https://nl.farnell.com/recom-power/r-78b5-0-1-0l/dc-dc-converter-5v-1a/dp/1793162" TargetMode="External"/><Relationship Id="rId41" Type="http://schemas.openxmlformats.org/officeDocument/2006/relationships/hyperlink" Target="https://nl.aliexpress.com/item/1005006311167114.html?spm=a2g0o.order_list.order_list_main.5.3f8379d22lLZlI&amp;gatewayAdapt=glo2nld" TargetMode="External"/><Relationship Id="rId42" Type="http://schemas.openxmlformats.org/officeDocument/2006/relationships/hyperlink" Target="https://nl.aliexpress.com/item/1005006321995370.html?spm=a2g0o.order_list.order_list_main.17.3f8379d22lLZlI&amp;gatewayAdapt=glo2nld" TargetMode="External"/><Relationship Id="rId43" Type="http://schemas.openxmlformats.org/officeDocument/2006/relationships/hyperlink" Target="http://www.aliexpress.com/item/1005006852412154.html?spm=a2g0o.order_list.order_list_main.33.3f8379d22lLZlI" TargetMode="External"/><Relationship Id="rId44" Type="http://schemas.openxmlformats.org/officeDocument/2006/relationships/hyperlink" Target="https://nl.aliexpress.com/item/1005007446928015.html?spm=a2g0o.order_list.order_list_main.70.3f8379d22lLZlI&amp;gatewayAdapt=glo2nld" TargetMode="External"/><Relationship Id="rId45" Type="http://schemas.openxmlformats.org/officeDocument/2006/relationships/hyperlink" Target="https://nl.aliexpress.com/item/1005006531774076.html?spm=a2g0o.order_list.order_list_main.81.3f8379d22lLZlI&amp;gatewayAdapt=glo2nld" TargetMode="External"/><Relationship Id="rId46" Type="http://schemas.openxmlformats.org/officeDocument/2006/relationships/hyperlink" Target="https://nl.aliexpress.com/item/1005008478445571.html?spm=a2g0o.order_list.order_list_main.101.3f8379d22lLZlI&amp;gatewayAdapt=glo2nld" TargetMode="External"/><Relationship Id="rId47" Type="http://schemas.openxmlformats.org/officeDocument/2006/relationships/hyperlink" Target="https://nl.aliexpress.com/item/32810872544.html?spm=a2g0o.order_list.order_list_main.140.3f8379d22lLZlI&amp;gatewayAdapt=glo2nld" TargetMode="External"/><Relationship Id="rId48" Type="http://schemas.openxmlformats.org/officeDocument/2006/relationships/hyperlink" Target="https://nl.aliexpress.com/item/32810872544.html?spm=a2g0o.order_list.order_list_main.145.3f8379d22lLZlI&amp;gatewayAdapt=glo2nld" TargetMode="External"/><Relationship Id="rId49" Type="http://schemas.openxmlformats.org/officeDocument/2006/relationships/hyperlink" Target="http://www.aliexpress.com/item/1005002047657907.html?spm=a2g0o.order_list.order_list_main.150.3f8379d22lLZlI" TargetMode="External"/><Relationship Id="rId50" Type="http://schemas.openxmlformats.org/officeDocument/2006/relationships/hyperlink" Target="https://www.aliexpress.com/item/1005006995121970.html?spm=a2g0o.order_list.order_list_main.205.3f8379d22lLZlI" TargetMode="External"/><Relationship Id="rId51" Type="http://schemas.openxmlformats.org/officeDocument/2006/relationships/hyperlink" Target="https://nl.aliexpress.com/item/1005006149080284.html?spm=a2g0o.order_list.order_list_main.211.3f8379d22lLZlI&amp;gatewayAdapt=glo2nld" TargetMode="External"/><Relationship Id="rId52" Type="http://schemas.openxmlformats.org/officeDocument/2006/relationships/hyperlink" Target="https://www.aliexpress.com/item/1005006358997795.html?spm=a2g0o.order_list.order_list_main.225.3f8379d22lLZlI" TargetMode="External"/><Relationship Id="rId53" Type="http://schemas.openxmlformats.org/officeDocument/2006/relationships/hyperlink" Target="https://www.aliexpress.com/item/1005005013827080.html?spm=a2g0o.order_list.order_list_main.271.3f8379d22lLZlI" TargetMode="External"/><Relationship Id="rId54" Type="http://schemas.openxmlformats.org/officeDocument/2006/relationships/hyperlink" Target="https://nl.aliexpress.com/item/1005002748966091.html?spm=a2g0o.order_list.order_list_main.280.3f8379d22lLZlI&amp;gatewayAdapt=glo2nld" TargetMode="External"/><Relationship Id="rId55" Type="http://schemas.openxmlformats.org/officeDocument/2006/relationships/hyperlink" Target="https://www.bol.com/nl/nl/p/kurk-zwart-pe-in-perfect-afsluitende-vorm-tbv-non-drips-of-maatschenkers-ten-behoeve-van-0-7-1-5-l-flessen/9200000107083693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cocktailbuilder.com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ikea.com/nl/nl/p/pokal-glas-helder-glas-10270478/" TargetMode="External"/><Relationship Id="rId2" Type="http://schemas.openxmlformats.org/officeDocument/2006/relationships/hyperlink" Target="https://www.ikea.com/nl/nl/p/pokal-glas-helder-glas-30288241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3" activePane="bottomLeft" state="frozen"/>
      <selection pane="topLeft" activeCell="A1" activeCellId="0" sqref="A1"/>
      <selection pane="bottomLeft" activeCell="I89" activeCellId="0" sqref="I8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0.25"/>
    <col collapsed="false" customWidth="true" hidden="false" outlineLevel="0" max="2" min="2" style="1" width="7.25"/>
    <col collapsed="false" customWidth="true" hidden="false" outlineLevel="0" max="3" min="3" style="1" width="47.63"/>
    <col collapsed="false" customWidth="true" hidden="false" outlineLevel="0" max="4" min="4" style="1" width="9"/>
    <col collapsed="false" customWidth="true" hidden="false" outlineLevel="0" max="9" min="5" style="1" width="10.13"/>
    <col collapsed="false" customWidth="false" hidden="false" outlineLevel="0" max="16384" min="10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tr">
        <f aca="false">"|"&amp;A1&amp;"|"&amp;B1&amp;"|"&amp;C1&amp;"|"&amp;D1&amp;"|"&amp;E1&amp;"|"&amp;F1&amp;"|"&amp;G1&amp;"|"&amp;H1&amp;"|"</f>
        <v>|Description|Amount|Comments|Link buy|Link info|Piece price|Shipping|Total|</v>
      </c>
    </row>
    <row r="2" customFormat="false" ht="1.5" hidden="false" customHeight="true" outlineLevel="0" collapsed="false">
      <c r="A2" s="1" t="s">
        <v>8</v>
      </c>
      <c r="B2" s="5" t="s">
        <v>8</v>
      </c>
      <c r="C2" s="1" t="s">
        <v>8</v>
      </c>
      <c r="D2" s="1" t="s">
        <v>8</v>
      </c>
      <c r="E2" s="1" t="s">
        <v>8</v>
      </c>
      <c r="F2" s="4" t="s">
        <v>8</v>
      </c>
      <c r="G2" s="4" t="s">
        <v>8</v>
      </c>
      <c r="H2" s="4" t="s">
        <v>8</v>
      </c>
      <c r="I2" s="4" t="str">
        <f aca="false">"|"&amp;A2&amp;"|"&amp;B2&amp;"|"&amp;C2&amp;"|"&amp;D2&amp;"|"&amp;E2&amp;"|"&amp;F2&amp;"|"&amp;G2&amp;"|"&amp;H2&amp;"|"</f>
        <v>|---|---|---|---|---|---|---|---|</v>
      </c>
    </row>
    <row r="3" customFormat="false" ht="15.75" hidden="false" customHeight="false" outlineLevel="0" collapsed="false">
      <c r="A3" s="6" t="s">
        <v>9</v>
      </c>
      <c r="B3" s="5" t="n">
        <v>4</v>
      </c>
      <c r="C3" s="1" t="s">
        <v>10</v>
      </c>
      <c r="D3" s="1" t="s">
        <v>11</v>
      </c>
      <c r="E3" s="7" t="s">
        <v>12</v>
      </c>
      <c r="F3" s="4" t="n">
        <f aca="false">(22.43*2+29.46*2)/4</f>
        <v>25.945</v>
      </c>
      <c r="G3" s="4" t="n">
        <v>1.62</v>
      </c>
      <c r="H3" s="4" t="n">
        <f aca="false">B3*F3+G3</f>
        <v>105.4</v>
      </c>
      <c r="I3" s="4" t="str">
        <f aca="false">IF(A3="","","|"&amp;A3&amp;"|"&amp;B3&amp;"|"&amp;C3&amp;"|"&amp;IF(D3="","","[link]("&amp;D3&amp;")")&amp;"|"&amp;IF(E3=" ","",IF(F3="","","[link]("&amp;E3&amp;")"))&amp;"|"&amp;IF(F3="","",ROUND(F3,2))&amp;"|"&amp;IF(G3="","",ROUND(G3,2))&amp;"|"&amp;IF(H3="","",ROUND(H3,2))&amp;"|")</f>
        <v>|Peristaltic Pump,12V (We use zy-1000f5)|4|Only needed for carbonated liquids|[link](https://www.banggood.com/500mL-or-min-Large-Flow-Easy-To-Install-Peristaltic-Pump-12V-or-24V-Metering-Vacuum-Pump-Flat-Type-Aquarium-p-1749029.html https://nl.aliexpress.com/item/1005004441796531.html?spm=a2g0o.order_list.0.0.d52c79d2o45Zo0&amp;gatewayAdapt=glo2nld)|[link](https://youtu.be/AMiXme4bMUk)|25.95|1.62|105.4|</v>
      </c>
    </row>
    <row r="4" customFormat="false" ht="15.75" hidden="false" customHeight="false" outlineLevel="0" collapsed="false">
      <c r="A4" s="6" t="s">
        <v>13</v>
      </c>
      <c r="B4" s="5" t="n">
        <v>2</v>
      </c>
      <c r="C4" s="7"/>
      <c r="D4" s="7" t="s">
        <v>14</v>
      </c>
      <c r="E4" s="1" t="s">
        <v>15</v>
      </c>
      <c r="F4" s="4" t="n">
        <v>7.5</v>
      </c>
      <c r="G4" s="4" t="n">
        <f aca="false">4.95/7</f>
        <v>0.707142857142857</v>
      </c>
      <c r="H4" s="4" t="n">
        <f aca="false">B4*F4+G4</f>
        <v>15.7071428571429</v>
      </c>
      <c r="I4" s="4" t="str">
        <f aca="false">IF(A4="","","|"&amp;A4&amp;"|"&amp;B4&amp;"|"&amp;C4&amp;"|"&amp;IF(D4="","","[link]("&amp;D4&amp;")")&amp;"|"&amp;IF(E4=" ","",IF(F4="","","[link]("&amp;E4&amp;")"))&amp;"|"&amp;IF(F4="","",ROUND(F4,2))&amp;"|"&amp;IF(G4="","",ROUND(G4,2))&amp;"|"&amp;IF(H4="","",ROUND(H4,2))&amp;"|")</f>
        <v>|Pullys|2||[link](https://www.123-3d.nl/123-3D-GT2-Pulley-hoge-resolutie-met-lager-6-mm-riem-20-tanden-5-mm-as-zwart-i2546-t0.html)||7.5|0.71|15.71|</v>
      </c>
    </row>
    <row r="5" customFormat="false" ht="15.75" hidden="false" customHeight="false" outlineLevel="0" collapsed="false">
      <c r="A5" s="6" t="s">
        <v>16</v>
      </c>
      <c r="B5" s="5" t="n">
        <v>2</v>
      </c>
      <c r="D5" s="7" t="s">
        <v>17</v>
      </c>
      <c r="E5" s="1" t="s">
        <v>15</v>
      </c>
      <c r="F5" s="4" t="n">
        <v>7.5</v>
      </c>
      <c r="G5" s="4" t="n">
        <f aca="false">4.95/7</f>
        <v>0.707142857142857</v>
      </c>
      <c r="H5" s="4" t="n">
        <f aca="false">B5*F5+G5</f>
        <v>15.7071428571429</v>
      </c>
      <c r="I5" s="4" t="str">
        <f aca="false">IF(A5="","","|"&amp;A5&amp;"|"&amp;B5&amp;"|"&amp;C5&amp;"|"&amp;IF(D5="","","[link]("&amp;D5&amp;")")&amp;"|"&amp;IF(E5=" ","",IF(F5="","","[link]("&amp;E5&amp;")"))&amp;"|"&amp;IF(F5="","",ROUND(F5,2))&amp;"|"&amp;IF(G5="","",ROUND(G5,2))&amp;"|"&amp;IF(H5="","",ROUND(H5,2))&amp;"|")</f>
        <v>|Motor pullys|2||[link](https://www.123-3d.nl/123-3D-GT2-Pulley-hoge-resolutie-6-mm-riem-20-tanden-5-mm-as-zwart-400211009-i2547-t0.html)||7.5|0.71|15.71|</v>
      </c>
    </row>
    <row r="6" customFormat="false" ht="15.75" hidden="false" customHeight="false" outlineLevel="0" collapsed="false">
      <c r="A6" s="6" t="s">
        <v>18</v>
      </c>
      <c r="B6" s="5" t="n">
        <v>1</v>
      </c>
      <c r="C6" s="1" t="s">
        <v>19</v>
      </c>
      <c r="D6" s="7" t="s">
        <v>20</v>
      </c>
      <c r="E6" s="1" t="s">
        <v>15</v>
      </c>
      <c r="F6" s="4" t="n">
        <v>21</v>
      </c>
      <c r="G6" s="4" t="n">
        <f aca="false">4.95/7</f>
        <v>0.707142857142857</v>
      </c>
      <c r="H6" s="4" t="n">
        <f aca="false">B6*F6+G6</f>
        <v>21.7071428571429</v>
      </c>
      <c r="I6" s="4" t="str">
        <f aca="false">IF(A6="","","|"&amp;A6&amp;"|"&amp;B6&amp;"|"&amp;C6&amp;"|"&amp;IF(D6="","","[link]("&amp;D6&amp;")")&amp;"|"&amp;IF(E6=" ","",IF(F6="","","[link]("&amp;E6&amp;")"))&amp;"|"&amp;IF(F6="","",ROUND(F6,2))&amp;"|"&amp;IF(G6="","",ROUND(G6,2))&amp;"|"&amp;IF(H6="","",ROUND(H6,2))&amp;"|")</f>
        <v>|Reininforced belt 6mm wide|1|2.7m needed|[link](https://www.123-3d.nl/123-3D-GT2-timing-belt-6-mm-5-meter-i6541-t3046.html)||21|0.71|21.71|</v>
      </c>
    </row>
    <row r="7" customFormat="false" ht="15.75" hidden="false" customHeight="false" outlineLevel="0" collapsed="false">
      <c r="A7" s="6" t="s">
        <v>21</v>
      </c>
      <c r="B7" s="1" t="n">
        <v>1</v>
      </c>
      <c r="D7" s="7" t="s">
        <v>22</v>
      </c>
      <c r="E7" s="1" t="s">
        <v>15</v>
      </c>
      <c r="F7" s="8" t="n">
        <v>6</v>
      </c>
      <c r="G7" s="4" t="n">
        <f aca="false">4.95/7</f>
        <v>0.707142857142857</v>
      </c>
      <c r="H7" s="4" t="n">
        <f aca="false">B7*F7+G7</f>
        <v>6.70714285714286</v>
      </c>
      <c r="I7" s="4" t="str">
        <f aca="false">IF(A7="","","|"&amp;A7&amp;"|"&amp;B7&amp;"|"&amp;C7&amp;"|"&amp;IF(D7="","","[link]("&amp;D7&amp;")")&amp;"|"&amp;IF(E7=" ","",IF(F7="","","[link]("&amp;E7&amp;")"))&amp;"|"&amp;IF(F7="","",ROUND(F7,2))&amp;"|"&amp;IF(G7="","",ROUND(G7,2))&amp;"|"&amp;IF(H7="","",ROUND(H7,2))&amp;"|")</f>
        <v>|Leadscrew moer, TR8x8|1||[link](https://www.123-3d.nl/123-3D-Leadscrew-moer-TR8x8-i1560-t0.html)||6|0.71|6.71|</v>
      </c>
    </row>
    <row r="8" customFormat="false" ht="15.75" hidden="false" customHeight="false" outlineLevel="0" collapsed="false">
      <c r="A8" s="6" t="s">
        <v>23</v>
      </c>
      <c r="B8" s="1" t="n">
        <v>1</v>
      </c>
      <c r="C8" s="1" t="s">
        <v>24</v>
      </c>
      <c r="D8" s="7" t="s">
        <v>25</v>
      </c>
      <c r="E8" s="1" t="s">
        <v>15</v>
      </c>
      <c r="F8" s="8" t="n">
        <v>9.5</v>
      </c>
      <c r="G8" s="4" t="n">
        <f aca="false">4.95/7</f>
        <v>0.707142857142857</v>
      </c>
      <c r="H8" s="4" t="n">
        <f aca="false">B8*F8+G8</f>
        <v>10.2071428571429</v>
      </c>
      <c r="I8" s="4" t="str">
        <f aca="false">IF(A8="","","|"&amp;A8&amp;"|"&amp;B8&amp;"|"&amp;C8&amp;"|"&amp;IF(D8="","","[link]("&amp;D8&amp;")")&amp;"|"&amp;IF(E8=" ","",IF(F8="","","[link]("&amp;E8&amp;")"))&amp;"|"&amp;IF(F8="","",ROUND(F8,2))&amp;"|"&amp;IF(G8="","",ROUND(G8,2))&amp;"|"&amp;IF(H8="","",ROUND(H8,2))&amp;"|")</f>
        <v>|Leadscrew, TR8x8, 8 mm|1|This one is 30cm, unsure what we need|[link](https://www.123-3d.nl/123-3D-Leadscrew-TR8x8-8-mm-30-cm-i1558-t0.html)||9.5|0.71|10.21|</v>
      </c>
    </row>
    <row r="9" customFormat="false" ht="15.75" hidden="false" customHeight="false" outlineLevel="0" collapsed="false">
      <c r="A9" s="6" t="s">
        <v>26</v>
      </c>
      <c r="B9" s="5" t="n">
        <v>1</v>
      </c>
      <c r="C9" s="1" t="s">
        <v>27</v>
      </c>
      <c r="D9" s="7" t="s">
        <v>28</v>
      </c>
      <c r="E9" s="1" t="s">
        <v>15</v>
      </c>
      <c r="F9" s="4" t="n">
        <v>3.75</v>
      </c>
      <c r="G9" s="4" t="n">
        <f aca="false">4.95/7</f>
        <v>0.707142857142857</v>
      </c>
      <c r="H9" s="4" t="n">
        <f aca="false">B9*F9+G9</f>
        <v>4.45714285714286</v>
      </c>
      <c r="I9" s="4" t="str">
        <f aca="false">IF(A9="","","|"&amp;A9&amp;"|"&amp;B9&amp;"|"&amp;C9&amp;"|"&amp;IF(D9="","","[link]("&amp;D9&amp;")")&amp;"|"&amp;IF(E9=" ","",IF(F9="","","[link]("&amp;E9&amp;")"))&amp;"|"&amp;IF(F9="","",ROUND(F9,2))&amp;"|"&amp;IF(G9="","",ROUND(G9,2))&amp;"|"&amp;IF(H9="","",ROUND(H9,2))&amp;"|")</f>
        <v>|Staaf as glad 8 m|1|This one is 100cm, unsure what we need|[link](https://www.123-3d.nl/123-3D-Staaf-as-glad-8-mm-x-100-cm-voor-X-of-Y-as-i56-t0.html)||3.75|0.71|4.46|</v>
      </c>
    </row>
    <row r="10" customFormat="false" ht="15.75" hidden="false" customHeight="false" outlineLevel="0" collapsed="false">
      <c r="A10" s="6" t="s">
        <v>29</v>
      </c>
      <c r="B10" s="1" t="n">
        <v>1</v>
      </c>
      <c r="D10" s="7" t="s">
        <v>30</v>
      </c>
      <c r="E10" s="1" t="s">
        <v>15</v>
      </c>
      <c r="F10" s="8" t="n">
        <v>4.5</v>
      </c>
      <c r="G10" s="4" t="n">
        <f aca="false">4.95/7</f>
        <v>0.707142857142857</v>
      </c>
      <c r="H10" s="4" t="n">
        <f aca="false">B10*F10+G10</f>
        <v>5.20714285714286</v>
      </c>
      <c r="I10" s="4" t="str">
        <f aca="false">IF(A10="","","|"&amp;A10&amp;"|"&amp;B10&amp;"|"&amp;C10&amp;"|"&amp;IF(D10="","","[link]("&amp;D10&amp;")")&amp;"|"&amp;IF(E10=" ","",IF(F10="","","[link]("&amp;E10&amp;")"))&amp;"|"&amp;IF(F10="","",ROUND(F10,2))&amp;"|"&amp;IF(G10="","",ROUND(G10,2))&amp;"|"&amp;IF(H10="","",ROUND(H10,2))&amp;"|")</f>
        <v>|Flexibele motor koppeling 5 mm - 8 mm|1||[link](https://www.123-3d.nl/123-3D-Flexibele-motor-koppeling-5-mm-8-mm-i342-t0.html)||4.5|0.71|5.21|</v>
      </c>
    </row>
    <row r="11" customFormat="false" ht="15.75" hidden="false" customHeight="false" outlineLevel="0" collapsed="false">
      <c r="A11" s="6" t="s">
        <v>31</v>
      </c>
      <c r="B11" s="5" t="n">
        <v>10</v>
      </c>
      <c r="C11" s="1" t="s">
        <v>32</v>
      </c>
      <c r="E11" s="7" t="s">
        <v>33</v>
      </c>
      <c r="F11" s="4" t="n">
        <v>0.02</v>
      </c>
      <c r="G11" s="4" t="n">
        <v>0</v>
      </c>
      <c r="H11" s="4" t="n">
        <f aca="false">B11*F11+G11</f>
        <v>0.2</v>
      </c>
      <c r="I11" s="4" t="str">
        <f aca="false">IF(A11="","","|"&amp;A11&amp;"|"&amp;B11&amp;"|"&amp;C11&amp;"|"&amp;IF(D11="","","[link]("&amp;D11&amp;")")&amp;"|"&amp;IF(E11=" ","",IF(F11="","","[link]("&amp;E11&amp;")"))&amp;"|"&amp;IF(F11="","",ROUND(F11,2))&amp;"|"&amp;IF(G11="","",ROUND(G11,2))&amp;"|"&amp;IF(H11="","",ROUND(H11,2))&amp;"|")</f>
        <v>|Frame end caps 2020 (3d print)|10|Print in black||[link](https://www.thingiverse.com/thing:2393904)|0.02|0|0.2|</v>
      </c>
    </row>
    <row r="12" customFormat="false" ht="15.75" hidden="false" customHeight="false" outlineLevel="0" collapsed="false">
      <c r="A12" s="6" t="s">
        <v>34</v>
      </c>
      <c r="B12" s="5" t="n">
        <v>2</v>
      </c>
      <c r="C12" s="1" t="s">
        <v>35</v>
      </c>
      <c r="D12" s="7" t="s">
        <v>36</v>
      </c>
      <c r="E12" s="1" t="s">
        <v>15</v>
      </c>
      <c r="F12" s="4" t="n">
        <v>38.95</v>
      </c>
      <c r="G12" s="4" t="n">
        <v>0</v>
      </c>
      <c r="H12" s="4" t="n">
        <f aca="false">B12*F12+G12</f>
        <v>77.9</v>
      </c>
      <c r="I12" s="4" t="str">
        <f aca="false">IF(A12="","","|"&amp;A12&amp;"|"&amp;B12&amp;"|"&amp;C12&amp;"|"&amp;IF(D12="","","[link]("&amp;D12&amp;")")&amp;"|"&amp;IF(E12=" ","",IF(F12="","","[link]("&amp;E12&amp;")"))&amp;"|"&amp;IF(F12="","",ROUND(F12,2))&amp;"|"&amp;IF(G12="","",ROUND(G12,2))&amp;"|"&amp;IF(H12="","",ROUND(H12,2))&amp;"|")</f>
        <v>|Drink dispensers (6 way)|2|Spraypaint black|[link](https://www.bol.com/nl/nl/p/white-rhinoceros-drank-dispenser-bar-butler-shots-muurdispenser-voor-6-flessen/9300000007705748/?Referrer=ENTcli_order_confirmation2008093611)||38.95|0|77.9|</v>
      </c>
    </row>
    <row r="13" customFormat="false" ht="15.75" hidden="false" customHeight="false" outlineLevel="0" collapsed="false">
      <c r="A13" s="6" t="s">
        <v>37</v>
      </c>
      <c r="B13" s="5" t="n">
        <v>2</v>
      </c>
      <c r="C13" s="1" t="s">
        <v>38</v>
      </c>
      <c r="D13" s="7" t="s">
        <v>39</v>
      </c>
      <c r="E13" s="1" t="s">
        <v>15</v>
      </c>
      <c r="F13" s="4" t="n">
        <v>12.54</v>
      </c>
      <c r="G13" s="4" t="n">
        <v>28.52</v>
      </c>
      <c r="H13" s="4" t="n">
        <f aca="false">B13*F13+G13</f>
        <v>53.6</v>
      </c>
      <c r="I13" s="4" t="str">
        <f aca="false">IF(A13="","","|"&amp;A13&amp;"|"&amp;B13&amp;"|"&amp;C13&amp;"|"&amp;IF(D13="","","[link]("&amp;D13&amp;")")&amp;"|"&amp;IF(E13=" ","",IF(F13="","","[link]("&amp;E13&amp;")"))&amp;"|"&amp;IF(F13="","",ROUND(F13,2))&amp;"|"&amp;IF(G13="","",ROUND(G13,2))&amp;"|"&amp;IF(H13="","",ROUND(H13,2))&amp;"|")</f>
        <v>|V frame (black 1500mm)|2|Cut in sizes: 2x750 + 2x353.5 + 2x396.5mm|[link](https://www.ratrig.com/aluminium-profiles/vslot/v-slot-2020-637.html)||12.54|28.52|53.6|</v>
      </c>
    </row>
    <row r="14" customFormat="false" ht="15.75" hidden="false" customHeight="false" outlineLevel="0" collapsed="false">
      <c r="A14" s="6" t="s">
        <v>40</v>
      </c>
      <c r="B14" s="9" t="n">
        <v>20</v>
      </c>
      <c r="D14" s="7" t="s">
        <v>41</v>
      </c>
      <c r="E14" s="1" t="s">
        <v>15</v>
      </c>
      <c r="F14" s="4" t="n">
        <f aca="false">10.02/20</f>
        <v>0.501</v>
      </c>
      <c r="G14" s="4" t="n">
        <v>2.43</v>
      </c>
      <c r="H14" s="4" t="n">
        <f aca="false">B14*F14+G14</f>
        <v>12.45</v>
      </c>
      <c r="I14" s="4" t="str">
        <f aca="false">IF(A14="","","|"&amp;A14&amp;"|"&amp;B14&amp;"|"&amp;C14&amp;"|"&amp;IF(D14="","","[link]("&amp;D14&amp;")")&amp;"|"&amp;IF(E14=" ","",IF(F14="","","[link]("&amp;E14&amp;")"))&amp;"|"&amp;IF(F14="","",ROUND(F14,2))&amp;"|"&amp;IF(G14="","",ROUND(G14,2))&amp;"|"&amp;IF(H14="","",ROUND(H14,2))&amp;"|")</f>
        <v>|Frame corner profiles|20||[link](https://nl.aliexpress.com/item/1005003618509458.html)||0.5|2.43|12.45|</v>
      </c>
    </row>
    <row r="15" customFormat="false" ht="15.75" hidden="false" customHeight="false" outlineLevel="0" collapsed="false">
      <c r="A15" s="6" t="s">
        <v>42</v>
      </c>
      <c r="B15" s="5" t="n">
        <v>1</v>
      </c>
      <c r="C15" s="1" t="s">
        <v>43</v>
      </c>
      <c r="E15" s="1" t="s">
        <v>15</v>
      </c>
      <c r="F15" s="4" t="n">
        <v>30.48</v>
      </c>
      <c r="G15" s="4" t="n">
        <v>0</v>
      </c>
      <c r="H15" s="4" t="n">
        <f aca="false">B15*F15+G15</f>
        <v>30.48</v>
      </c>
      <c r="I15" s="4" t="str">
        <f aca="false">IF(A15="","","|"&amp;A15&amp;"|"&amp;B15&amp;"|"&amp;C15&amp;"|"&amp;IF(D15="","","[link]("&amp;D15&amp;")")&amp;"|"&amp;IF(E15=" ","",IF(F15="","","[link]("&amp;E15&amp;")"))&amp;"|"&amp;IF(F15="","",ROUND(F15,2))&amp;"|"&amp;IF(G15="","",ROUND(G15,2))&amp;"|"&amp;IF(H15="","",ROUND(H15,2))&amp;"|")</f>
        <v>|Wood (Gamma)|1|2x30x80cm|||30.48|0|30.48|</v>
      </c>
    </row>
    <row r="16" customFormat="false" ht="15.75" hidden="false" customHeight="false" outlineLevel="0" collapsed="false">
      <c r="A16" s="6" t="s">
        <v>44</v>
      </c>
      <c r="B16" s="1" t="n">
        <v>1</v>
      </c>
      <c r="D16" s="7" t="s">
        <v>45</v>
      </c>
      <c r="E16" s="1" t="s">
        <v>15</v>
      </c>
      <c r="F16" s="8" t="n">
        <v>9.95</v>
      </c>
      <c r="G16" s="8" t="n">
        <v>2.99</v>
      </c>
      <c r="H16" s="4" t="n">
        <f aca="false">B16*F16+G16</f>
        <v>12.94</v>
      </c>
      <c r="I16" s="4" t="str">
        <f aca="false">IF(A16="","","|"&amp;A16&amp;"|"&amp;B16&amp;"|"&amp;C16&amp;"|"&amp;IF(D16="","","[link]("&amp;D16&amp;")")&amp;"|"&amp;IF(E16=" ","",IF(F16="","","[link]("&amp;E16&amp;")"))&amp;"|"&amp;IF(F16="","",ROUND(F16,2))&amp;"|"&amp;IF(G16="","",ROUND(G16,2))&amp;"|"&amp;IF(H16="","",ROUND(H16,2))&amp;"|")</f>
        <v>|16x2 LCD Display I2C|1||[link](https://elektronicavoorjou.nl/product/16x2-lcd-wit-op-blauw-5v-met-i2c/)||9.95|2.99|12.94|</v>
      </c>
    </row>
    <row r="17" customFormat="false" ht="15.75" hidden="false" customHeight="false" outlineLevel="0" collapsed="false">
      <c r="A17" s="6" t="s">
        <v>46</v>
      </c>
      <c r="B17" s="9" t="n">
        <v>50</v>
      </c>
      <c r="D17" s="7" t="s">
        <v>47</v>
      </c>
      <c r="E17" s="1" t="s">
        <v>15</v>
      </c>
      <c r="F17" s="8" t="n">
        <f aca="false">8.62/50</f>
        <v>0.1724</v>
      </c>
      <c r="G17" s="4" t="n">
        <f aca="false">(95.72-87.32)/6</f>
        <v>1.4</v>
      </c>
      <c r="H17" s="4" t="n">
        <f aca="false">B17*F17+G17</f>
        <v>10.02</v>
      </c>
      <c r="I17" s="4" t="str">
        <f aca="false">IF(A17="","","|"&amp;A17&amp;"|"&amp;B17&amp;"|"&amp;C17&amp;"|"&amp;IF(D17="","","[link]("&amp;D17&amp;")")&amp;"|"&amp;IF(E17=" ","",IF(F17="","","[link]("&amp;E17&amp;")"))&amp;"|"&amp;IF(F17="","",ROUND(F17,2))&amp;"|"&amp;IF(G17="","",ROUND(G17,2))&amp;"|"&amp;IF(H17="","",ROUND(H17,2))&amp;"|")</f>
        <v>|M3x10|50||[link](https://www.indi.nl/nl-nl/p/Cilindrische-inbusbout-M3x10-12.9-zwart-DIN912-912310129B)||0.17|1.4|10.02|</v>
      </c>
    </row>
    <row r="18" customFormat="false" ht="15.75" hidden="false" customHeight="false" outlineLevel="0" collapsed="false">
      <c r="A18" s="6" t="s">
        <v>48</v>
      </c>
      <c r="B18" s="9" t="n">
        <v>50</v>
      </c>
      <c r="D18" s="7" t="s">
        <v>49</v>
      </c>
      <c r="E18" s="1" t="s">
        <v>15</v>
      </c>
      <c r="F18" s="8" t="n">
        <f aca="false">8.62/50</f>
        <v>0.1724</v>
      </c>
      <c r="G18" s="4" t="n">
        <f aca="false">(95.72-87.32)/6</f>
        <v>1.4</v>
      </c>
      <c r="H18" s="4" t="n">
        <f aca="false">B18*F18+G18</f>
        <v>10.02</v>
      </c>
      <c r="I18" s="4" t="str">
        <f aca="false">IF(A18="","","|"&amp;A18&amp;"|"&amp;B18&amp;"|"&amp;C18&amp;"|"&amp;IF(D18="","","[link]("&amp;D18&amp;")")&amp;"|"&amp;IF(E18=" ","",IF(F18="","","[link]("&amp;E18&amp;")"))&amp;"|"&amp;IF(F18="","",ROUND(F18,2))&amp;"|"&amp;IF(G18="","",ROUND(G18,2))&amp;"|"&amp;IF(H18="","",ROUND(H18,2))&amp;"|")</f>
        <v>|M3x30|50||[link](https://www.indi.nl/nl-nl/p/Cilindrische-inbusbout-M3x30-12.9-zwart-DIN912-912330129B)||0.17|1.4|10.02|</v>
      </c>
    </row>
    <row r="19" customFormat="false" ht="15.75" hidden="false" customHeight="false" outlineLevel="0" collapsed="false">
      <c r="A19" s="6" t="s">
        <v>50</v>
      </c>
      <c r="B19" s="9" t="n">
        <v>50</v>
      </c>
      <c r="D19" s="7" t="s">
        <v>51</v>
      </c>
      <c r="E19" s="1" t="s">
        <v>15</v>
      </c>
      <c r="F19" s="8" t="n">
        <v>0.18</v>
      </c>
      <c r="G19" s="4" t="n">
        <f aca="false">(95.72-87.32)/6</f>
        <v>1.4</v>
      </c>
      <c r="H19" s="4" t="n">
        <f aca="false">B19*F19+G19</f>
        <v>10.4</v>
      </c>
      <c r="I19" s="4" t="str">
        <f aca="false">IF(A19="","","|"&amp;A19&amp;"|"&amp;B19&amp;"|"&amp;C19&amp;"|"&amp;IF(D19="","","[link]("&amp;D19&amp;")")&amp;"|"&amp;IF(E19=" ","",IF(F19="","","[link]("&amp;E19&amp;")"))&amp;"|"&amp;IF(F19="","",ROUND(F19,2))&amp;"|"&amp;IF(G19="","",ROUND(G19,2))&amp;"|"&amp;IF(H19="","",ROUND(H19,2))&amp;"|")</f>
        <v>|M5x10|50||[link](https://www.indi.nl/nl-nl/p/Cilindrische-inbusbout-M5x10-12.9-zwart-DIN912-912510129B)||0.18|1.4|10.4|</v>
      </c>
    </row>
    <row r="20" customFormat="false" ht="15.75" hidden="false" customHeight="false" outlineLevel="0" collapsed="false">
      <c r="A20" s="6" t="s">
        <v>52</v>
      </c>
      <c r="B20" s="9" t="n">
        <v>50</v>
      </c>
      <c r="D20" s="7" t="s">
        <v>53</v>
      </c>
      <c r="E20" s="1" t="s">
        <v>15</v>
      </c>
      <c r="F20" s="8" t="n">
        <v>0.18</v>
      </c>
      <c r="G20" s="4" t="n">
        <f aca="false">(95.72-87.32)/6</f>
        <v>1.4</v>
      </c>
      <c r="H20" s="4" t="n">
        <f aca="false">B20*F20+G20</f>
        <v>10.4</v>
      </c>
      <c r="I20" s="4" t="str">
        <f aca="false">IF(A20="","","|"&amp;A20&amp;"|"&amp;B20&amp;"|"&amp;C20&amp;"|"&amp;IF(D20="","","[link]("&amp;D20&amp;")")&amp;"|"&amp;IF(E20=" ","",IF(F20="","","[link]("&amp;E20&amp;")"))&amp;"|"&amp;IF(F20="","",ROUND(F20,2))&amp;"|"&amp;IF(G20="","",ROUND(G20,2))&amp;"|"&amp;IF(H20="","",ROUND(H20,2))&amp;"|")</f>
        <v>|M5x20|50||[link](https://www.indi.nl/nl-nl/p/Cilindrische-inbusbout-M5x20-12.9-zwart-DIN912-912520129B)||0.18|1.4|10.4|</v>
      </c>
    </row>
    <row r="21" customFormat="false" ht="15.75" hidden="false" customHeight="false" outlineLevel="0" collapsed="false">
      <c r="A21" s="10" t="s">
        <v>54</v>
      </c>
      <c r="B21" s="9" t="n">
        <v>50</v>
      </c>
      <c r="D21" s="7" t="s">
        <v>55</v>
      </c>
      <c r="E21" s="1" t="s">
        <v>15</v>
      </c>
      <c r="F21" s="8" t="n">
        <v>0.18</v>
      </c>
      <c r="G21" s="4" t="n">
        <f aca="false">(95.72-87.32)/6</f>
        <v>1.4</v>
      </c>
      <c r="H21" s="4" t="n">
        <f aca="false">B21*F21+G21</f>
        <v>10.4</v>
      </c>
      <c r="I21" s="4" t="str">
        <f aca="false">IF(A21="","","|"&amp;A21&amp;"|"&amp;B21&amp;"|"&amp;C21&amp;"|"&amp;IF(D21="","","[link]("&amp;D21&amp;")")&amp;"|"&amp;IF(E21=" ","",IF(F21="","","[link]("&amp;E21&amp;")"))&amp;"|"&amp;IF(F21="","",ROUND(F21,2))&amp;"|"&amp;IF(G21="","",ROUND(G21,2))&amp;"|"&amp;IF(H21="","",ROUND(H21,2))&amp;"|")</f>
        <v>|M5x30|50||[link](https://www.indi.nl/nl-nl/p/Cilindrische-inbusbout-M5x30-12.9-zwart-DIN912-912530129B)||0.18|1.4|10.4|</v>
      </c>
    </row>
    <row r="22" customFormat="false" ht="15.75" hidden="false" customHeight="false" outlineLevel="0" collapsed="false">
      <c r="A22" s="11" t="s">
        <v>56</v>
      </c>
      <c r="B22" s="9" t="n">
        <v>50</v>
      </c>
      <c r="D22" s="7" t="s">
        <v>57</v>
      </c>
      <c r="E22" s="1" t="s">
        <v>15</v>
      </c>
      <c r="F22" s="8" t="n">
        <v>0.27</v>
      </c>
      <c r="G22" s="4" t="n">
        <f aca="false">8.41/6</f>
        <v>1.40166666666667</v>
      </c>
      <c r="H22" s="4" t="n">
        <f aca="false">B22*F22+G22</f>
        <v>14.9016666666667</v>
      </c>
      <c r="I22" s="4" t="str">
        <f aca="false">IF(A22="","","|"&amp;A22&amp;"|"&amp;B22&amp;"|"&amp;C22&amp;"|"&amp;IF(D22="","","[link]("&amp;D22&amp;")")&amp;"|"&amp;IF(E22=" ","",IF(F22="","","[link]("&amp;E22&amp;")"))&amp;"|"&amp;IF(F22="","",ROUND(F22,2))&amp;"|"&amp;IF(G22="","",ROUND(G22,2))&amp;"|"&amp;IF(H22="","",ROUND(H22,2))&amp;"|")</f>
        <v>|M5x40|50||[link](https://www.indi.nl/nl-nl/p/Cilindrische-inbusbout-M5x40-12.9-zwart-DIN912-912540129B)||0.27|1.4|14.9|</v>
      </c>
    </row>
    <row r="23" customFormat="false" ht="15.75" hidden="false" customHeight="false" outlineLevel="0" collapsed="false">
      <c r="A23" s="11" t="s">
        <v>58</v>
      </c>
      <c r="B23" s="9" t="n">
        <v>50</v>
      </c>
      <c r="D23" s="7" t="s">
        <v>59</v>
      </c>
      <c r="E23" s="1" t="s">
        <v>15</v>
      </c>
      <c r="F23" s="8" t="n">
        <v>0.34</v>
      </c>
      <c r="G23" s="4" t="n">
        <f aca="false">8.41/6</f>
        <v>1.40166666666667</v>
      </c>
      <c r="H23" s="4" t="n">
        <f aca="false">B23*F23+G23</f>
        <v>18.4016666666667</v>
      </c>
      <c r="I23" s="4" t="str">
        <f aca="false">IF(A23="","","|"&amp;A23&amp;"|"&amp;B23&amp;"|"&amp;C23&amp;"|"&amp;IF(D23="","","[link]("&amp;D23&amp;")")&amp;"|"&amp;IF(E23=" ","",IF(F23="","","[link]("&amp;E23&amp;")"))&amp;"|"&amp;IF(F23="","",ROUND(F23,2))&amp;"|"&amp;IF(G23="","",ROUND(G23,2))&amp;"|"&amp;IF(H23="","",ROUND(H23,2))&amp;"|")</f>
        <v>|M5x50|50||[link](https://www.indi.nl/nl-nl/p/Cilindrische-inbusbout-M5X50-12.9-zwart-DIN912-912550129B)||0.34|1.4|18.4|</v>
      </c>
    </row>
    <row r="24" customFormat="false" ht="15.75" hidden="false" customHeight="false" outlineLevel="0" collapsed="false">
      <c r="A24" s="6" t="s">
        <v>60</v>
      </c>
      <c r="B24" s="9" t="n">
        <v>50</v>
      </c>
      <c r="D24" s="7" t="s">
        <v>61</v>
      </c>
      <c r="E24" s="1" t="s">
        <v>15</v>
      </c>
      <c r="F24" s="8" t="n">
        <f aca="false">19.32/50</f>
        <v>0.3864</v>
      </c>
      <c r="G24" s="4" t="n">
        <f aca="false">(95.72-87.32)/6</f>
        <v>1.4</v>
      </c>
      <c r="H24" s="4" t="n">
        <f aca="false">B24*F24+G24</f>
        <v>20.72</v>
      </c>
      <c r="I24" s="4" t="str">
        <f aca="false">IF(A24="","","|"&amp;A24&amp;"|"&amp;B24&amp;"|"&amp;C24&amp;"|"&amp;IF(D24="","","[link]("&amp;D24&amp;")")&amp;"|"&amp;IF(E24=" ","",IF(F24="","","[link]("&amp;E24&amp;")"))&amp;"|"&amp;IF(F24="","",ROUND(F24,2))&amp;"|"&amp;IF(G24="","",ROUND(G24,2))&amp;"|"&amp;IF(H24="","",ROUND(H24,2))&amp;"|")</f>
        <v>|M5x60|50||[link](https://www.indi.nl/nl-nl/p/Cilindrische-inbusbout-M5x60-12.9-zwart-DIN912-912560129B)||0.39|1.4|20.72|</v>
      </c>
    </row>
    <row r="25" customFormat="false" ht="15.75" hidden="false" customHeight="false" outlineLevel="0" collapsed="false">
      <c r="A25" s="6" t="s">
        <v>62</v>
      </c>
      <c r="B25" s="9" t="n">
        <v>50</v>
      </c>
      <c r="D25" s="7" t="s">
        <v>63</v>
      </c>
      <c r="E25" s="1" t="s">
        <v>15</v>
      </c>
      <c r="F25" s="8" t="n">
        <f aca="false">41.76/50</f>
        <v>0.8352</v>
      </c>
      <c r="G25" s="4" t="n">
        <f aca="false">(95.72-87.32)/6</f>
        <v>1.4</v>
      </c>
      <c r="H25" s="4" t="n">
        <f aca="false">B25*F25+G25</f>
        <v>43.16</v>
      </c>
      <c r="I25" s="4" t="str">
        <f aca="false">IF(A25="","","|"&amp;A25&amp;"|"&amp;B25&amp;"|"&amp;C25&amp;"|"&amp;IF(D25="","","[link]("&amp;D25&amp;")")&amp;"|"&amp;IF(E25=" ","",IF(F25="","","[link]("&amp;E25&amp;")"))&amp;"|"&amp;IF(F25="","",ROUND(F25,2))&amp;"|"&amp;IF(G25="","",ROUND(G25,2))&amp;"|"&amp;IF(H25="","",ROUND(H25,2))&amp;"|")</f>
        <v>|M5x80|50||[link](https://www.indi.nl/nl-nl/p/Cilindrische-inbusbout-M5x80-12.9-zwart-DIN912-912580129B)||0.84|1.4|43.16|</v>
      </c>
    </row>
    <row r="26" customFormat="false" ht="15.75" hidden="false" customHeight="false" outlineLevel="0" collapsed="false">
      <c r="A26" s="11" t="s">
        <v>64</v>
      </c>
      <c r="B26" s="9" t="n">
        <v>200</v>
      </c>
      <c r="D26" s="12" t="s">
        <v>65</v>
      </c>
      <c r="E26" s="13" t="s">
        <v>15</v>
      </c>
      <c r="F26" s="14" t="n">
        <v>0.05</v>
      </c>
      <c r="G26" s="4" t="n">
        <f aca="false">(95.72-87.32)/6</f>
        <v>1.4</v>
      </c>
      <c r="H26" s="4" t="n">
        <f aca="false">B26*F26+G26</f>
        <v>11.4</v>
      </c>
      <c r="I26" s="4" t="str">
        <f aca="false">IF(A26="","","|"&amp;A26&amp;"|"&amp;B26&amp;"|"&amp;C26&amp;"|"&amp;IF(D26="","","[link]("&amp;D26&amp;")")&amp;"|"&amp;IF(E26=" ","",IF(F26="","","[link]("&amp;E26&amp;")"))&amp;"|"&amp;IF(F26="","",ROUND(F26,2))&amp;"|"&amp;IF(G26="","",ROUND(G26,2))&amp;"|"&amp;IF(H26="","",ROUND(H26,2))&amp;"|")</f>
        <v>|Moer|200||[link](https://www.indi.nl/nl-nl/p/Zeskantmoer-M5-klasse-8-verzinkt-DIN934-9345P100)||0.05|1.4|11.4|</v>
      </c>
    </row>
    <row r="27" customFormat="false" ht="15.75" hidden="false" customHeight="false" outlineLevel="0" collapsed="false">
      <c r="A27" s="6" t="s">
        <v>66</v>
      </c>
      <c r="B27" s="9" t="n">
        <v>8</v>
      </c>
      <c r="D27" s="7" t="s">
        <v>67</v>
      </c>
      <c r="E27" s="1" t="s">
        <v>15</v>
      </c>
      <c r="F27" s="8" t="n">
        <f aca="false">2.79/8</f>
        <v>0.34875</v>
      </c>
      <c r="G27" s="8" t="n">
        <v>0</v>
      </c>
      <c r="H27" s="4" t="n">
        <f aca="false">B27*F27+G27</f>
        <v>2.79</v>
      </c>
      <c r="I27" s="4" t="str">
        <f aca="false">IF(A27="","","|"&amp;A27&amp;"|"&amp;B27&amp;"|"&amp;C27&amp;"|"&amp;IF(D27="","","[link]("&amp;D27&amp;")")&amp;"|"&amp;IF(E27=" ","",IF(F27="","","[link]("&amp;E27&amp;")"))&amp;"|"&amp;IF(F27="","",ROUND(F27,2))&amp;"|"&amp;IF(G27="","",ROUND(G27,2))&amp;"|"&amp;IF(H27="","",ROUND(H27,2))&amp;"|")</f>
        <v>|Borgmoer|8||[link](https://www.gamma.nl/assortiment/gamma-borgmoer-m5-rvs-8-stuks/p/B458288)||0.35|0|2.79|</v>
      </c>
    </row>
    <row r="28" customFormat="false" ht="15.75" hidden="false" customHeight="false" outlineLevel="0" collapsed="false">
      <c r="A28" s="6" t="s">
        <v>68</v>
      </c>
      <c r="B28" s="5" t="n">
        <v>11</v>
      </c>
      <c r="E28" s="1" t="s">
        <v>15</v>
      </c>
      <c r="F28" s="8" t="n">
        <f aca="false">7.12/10</f>
        <v>0.712</v>
      </c>
      <c r="G28" s="8" t="n">
        <v>0</v>
      </c>
      <c r="H28" s="4" t="n">
        <f aca="false">B28*F28+G28</f>
        <v>7.832</v>
      </c>
      <c r="I28" s="4" t="str">
        <f aca="false">IF(A28="","","|"&amp;A28&amp;"|"&amp;B28&amp;"|"&amp;C28&amp;"|"&amp;IF(D28="","","[link]("&amp;D28&amp;")")&amp;"|"&amp;IF(E28=" ","",IF(F28="","","[link]("&amp;E28&amp;")"))&amp;"|"&amp;IF(F28="","",ROUND(F28,2))&amp;"|"&amp;IF(G28="","",ROUND(G28,2))&amp;"|"&amp;IF(H28="","",ROUND(H28,2))&amp;"|")</f>
        <v>|V-slot wheels|11||||0.71|0|7.83|</v>
      </c>
    </row>
    <row r="29" customFormat="false" ht="15.75" hidden="false" customHeight="false" outlineLevel="0" collapsed="false">
      <c r="A29" s="6" t="s">
        <v>69</v>
      </c>
      <c r="B29" s="9" t="n">
        <v>5</v>
      </c>
      <c r="C29" s="1" t="s">
        <v>70</v>
      </c>
      <c r="F29" s="8" t="n">
        <v>1.44</v>
      </c>
      <c r="G29" s="8" t="n">
        <v>0</v>
      </c>
      <c r="H29" s="4" t="n">
        <f aca="false">B29*F29+G29</f>
        <v>7.2</v>
      </c>
      <c r="I29" s="4" t="str">
        <f aca="false">IF(A29="","","|"&amp;A29&amp;"|"&amp;B29&amp;"|"&amp;C29&amp;"|"&amp;IF(D29="","","[link]("&amp;D29&amp;")")&amp;"|"&amp;IF(E29=" ","",IF(F29="","","[link]("&amp;E29&amp;")"))&amp;"|"&amp;IF(F29="","",ROUND(F29,2))&amp;"|"&amp;IF(G29="","",ROUND(G29,2))&amp;"|"&amp;IF(H29="","",ROUND(H29,2))&amp;"|")</f>
        <v>|JLC PCB|5|(minimum 5 pieces)||[link]()|1.44|0|7.2|</v>
      </c>
    </row>
    <row r="30" customFormat="false" ht="15.75" hidden="false" customHeight="false" outlineLevel="0" collapsed="false">
      <c r="A30" s="6" t="s">
        <v>71</v>
      </c>
      <c r="B30" s="1" t="n">
        <v>3</v>
      </c>
      <c r="C30" s="1" t="s">
        <v>72</v>
      </c>
      <c r="D30" s="7" t="s">
        <v>73</v>
      </c>
      <c r="E30" s="7" t="s">
        <v>74</v>
      </c>
      <c r="F30" s="4" t="n">
        <f aca="false">(20.42+4.44)/10</f>
        <v>2.486</v>
      </c>
      <c r="G30" s="4" t="n">
        <v>0</v>
      </c>
      <c r="H30" s="4" t="n">
        <f aca="false">B30*F30+G30</f>
        <v>7.458</v>
      </c>
      <c r="I30" s="4" t="str">
        <f aca="false">IF(A30="","","|"&amp;A30&amp;"|"&amp;B30&amp;"|"&amp;C30&amp;"|"&amp;IF(D30="","","[link]("&amp;D30&amp;")")&amp;"|"&amp;IF(E30=" ","",IF(F30="","","[link]("&amp;E30&amp;")"))&amp;"|"&amp;IF(F30="","",ROUND(F30,2))&amp;"|"&amp;IF(G30="","",ROUND(G30,2))&amp;"|"&amp;IF(H30="","",ROUND(H30,2))&amp;"|")</f>
        <v>|PCB-TMC2208 motor controller|3|X, Y, Z|[link](https://nl.aliexpress.com/item/1005004014058136.html)|[link](https://wiki.fysetc.com/TMC2208/)|2.49|0|7.46|</v>
      </c>
    </row>
    <row r="31" customFormat="false" ht="15.75" hidden="false" customHeight="false" outlineLevel="0" collapsed="false">
      <c r="A31" s="6" t="s">
        <v>75</v>
      </c>
      <c r="B31" s="1" t="n">
        <v>3</v>
      </c>
      <c r="C31" s="1" t="s">
        <v>76</v>
      </c>
      <c r="D31" s="7" t="s">
        <v>77</v>
      </c>
      <c r="E31" s="1" t="s">
        <v>15</v>
      </c>
      <c r="F31" s="8" t="n">
        <v>0.95</v>
      </c>
      <c r="G31" s="4" t="n">
        <v>3.45</v>
      </c>
      <c r="H31" s="4" t="n">
        <f aca="false">B31*F31+G31</f>
        <v>6.3</v>
      </c>
      <c r="I31" s="4" t="str">
        <f aca="false">IF(A31="","","|"&amp;A31&amp;"|"&amp;B31&amp;"|"&amp;C31&amp;"|"&amp;IF(D31="","","[link]("&amp;D31&amp;")")&amp;"|"&amp;IF(E31=" ","",IF(F31="","","[link]("&amp;E31&amp;")"))&amp;"|"&amp;IF(F31="","",ROUND(F31,2))&amp;"|"&amp;IF(G31="","",ROUND(G31,2))&amp;"|"&amp;IF(H31="","",ROUND(H31,2))&amp;"|")</f>
        <v>|Microswitch|3|Used for homing, not as limit switch|[link](https://www.hobbyelectronica.nl/product/endstop-mechanisch-microswitch/)||0.95|3.45|6.3|</v>
      </c>
    </row>
    <row r="32" customFormat="false" ht="15.75" hidden="false" customHeight="false" outlineLevel="0" collapsed="false">
      <c r="A32" s="1" t="s">
        <v>78</v>
      </c>
      <c r="B32" s="1" t="n">
        <v>6</v>
      </c>
      <c r="D32" s="7" t="s">
        <v>79</v>
      </c>
      <c r="E32" s="1" t="s">
        <v>15</v>
      </c>
      <c r="F32" s="8" t="n">
        <v>1.95</v>
      </c>
      <c r="G32" s="4" t="n">
        <v>2.95</v>
      </c>
      <c r="H32" s="4" t="n">
        <f aca="false">B32*F32+G32</f>
        <v>14.65</v>
      </c>
      <c r="I32" s="4" t="str">
        <f aca="false">IF(A32="","","|"&amp;A32&amp;"|"&amp;B32&amp;"|"&amp;C32&amp;"|"&amp;IF(D32="","","[link]("&amp;D32&amp;")")&amp;"|"&amp;IF(E32=" ","",IF(F32="","","[link]("&amp;E32&amp;")"))&amp;"|"&amp;IF(F32="","",ROUND(F32,2))&amp;"|"&amp;IF(G32="","",ROUND(G32,2))&amp;"|"&amp;IF(H32="","",ROUND(H32,2))&amp;"|")</f>
        <v>|Tubing 5x7|6||[link](https://www.kiwi-electronics.com/nl/siliconen-slang-5x7mm-2-meter-10188)||1.95|2.95|14.65|</v>
      </c>
    </row>
    <row r="33" customFormat="false" ht="15.75" hidden="false" customHeight="false" outlineLevel="0" collapsed="false">
      <c r="A33" s="1" t="s">
        <v>80</v>
      </c>
      <c r="B33" s="1" t="n">
        <v>14</v>
      </c>
      <c r="D33" s="7" t="s">
        <v>81</v>
      </c>
      <c r="E33" s="1" t="s">
        <v>15</v>
      </c>
      <c r="F33" s="8" t="n">
        <f aca="false">(30.15-7.95)/10</f>
        <v>2.22</v>
      </c>
      <c r="G33" s="4" t="n">
        <v>7.95</v>
      </c>
      <c r="H33" s="4" t="n">
        <f aca="false">B33*F33+G33</f>
        <v>39.03</v>
      </c>
      <c r="I33" s="4" t="str">
        <f aca="false">IF(A33="","","|"&amp;A33&amp;"|"&amp;B33&amp;"|"&amp;C33&amp;"|"&amp;IF(D33="","","[link]("&amp;D33&amp;")")&amp;"|"&amp;IF(E33=" ","",IF(F33="","","[link]("&amp;E33&amp;")"))&amp;"|"&amp;IF(F33="","",ROUND(F33,2))&amp;"|"&amp;IF(G33="","",ROUND(G33,2))&amp;"|"&amp;IF(H33="","",ROUND(H33,2))&amp;"|")</f>
        <v>|Tubing 2x4|14||[link](https://www.slangenshop.nl/home/22-siliconen-slang-2-x-4-mm-.html)||2.22|7.95|39.03|</v>
      </c>
    </row>
    <row r="34" customFormat="false" ht="15.75" hidden="false" customHeight="false" outlineLevel="0" collapsed="false">
      <c r="A34" s="1" t="s">
        <v>82</v>
      </c>
      <c r="B34" s="1" t="n">
        <v>7</v>
      </c>
      <c r="D34" s="7" t="s">
        <v>83</v>
      </c>
      <c r="E34" s="1" t="s">
        <v>15</v>
      </c>
      <c r="F34" s="8" t="n">
        <v>3.88</v>
      </c>
      <c r="G34" s="4" t="n">
        <v>6.95</v>
      </c>
      <c r="H34" s="4" t="n">
        <f aca="false">B34*F34+G34</f>
        <v>34.11</v>
      </c>
      <c r="I34" s="4" t="str">
        <f aca="false">IF(A34="","","|"&amp;A34&amp;"|"&amp;B34&amp;"|"&amp;C34&amp;"|"&amp;IF(D34="","","[link]("&amp;D34&amp;")")&amp;"|"&amp;IF(E34=" ","",IF(F34="","","[link]("&amp;E34&amp;")"))&amp;"|"&amp;IF(F34="","",ROUND(F34,2))&amp;"|"&amp;IF(G34="","",ROUND(G34,2))&amp;"|"&amp;IF(H34="","",ROUND(H34,2))&amp;"|")</f>
        <v>|Tubing 3x5|7||[link](https://www.slangenshop.nl/home/25-siliconen-slang-3-x-5-mm-.html)||3.88|6.95|34.11|</v>
      </c>
    </row>
    <row r="35" customFormat="false" ht="15.75" hidden="false" customHeight="false" outlineLevel="0" collapsed="false">
      <c r="A35" s="15" t="s">
        <v>84</v>
      </c>
      <c r="B35" s="1" t="n">
        <v>7</v>
      </c>
      <c r="D35" s="7" t="s">
        <v>85</v>
      </c>
      <c r="E35" s="1" t="s">
        <v>15</v>
      </c>
      <c r="F35" s="8" t="n">
        <v>3.81</v>
      </c>
      <c r="G35" s="4" t="n">
        <v>7.95</v>
      </c>
      <c r="H35" s="4" t="n">
        <f aca="false">B35*F35+G35</f>
        <v>34.62</v>
      </c>
      <c r="I35" s="4" t="str">
        <f aca="false">IF(A35="","","|"&amp;A35&amp;"|"&amp;B35&amp;"|"&amp;C35&amp;"|"&amp;IF(D35="","","[link]("&amp;D35&amp;")")&amp;"|"&amp;IF(E35=" ","",IF(F35="","","[link]("&amp;E35&amp;")"))&amp;"|"&amp;IF(F35="","",ROUND(F35,2))&amp;"|"&amp;IF(G35="","",ROUND(G35,2))&amp;"|"&amp;IF(H35="","",ROUND(H35,2))&amp;"|")</f>
        <v>|Tubing 4x6|7||[link](https://www.slangenshop.nl/home/24-siliconen-slang-4-x-6-mm-.html?search_query=Siliconen+slang+4&amp;results=24)||3.81|7.95|34.62|</v>
      </c>
    </row>
    <row r="36" customFormat="false" ht="15.75" hidden="false" customHeight="false" outlineLevel="0" collapsed="false">
      <c r="A36" s="1" t="s">
        <v>86</v>
      </c>
      <c r="B36" s="1" t="n">
        <v>1</v>
      </c>
      <c r="D36" s="7" t="s">
        <v>87</v>
      </c>
      <c r="E36" s="1" t="s">
        <v>15</v>
      </c>
      <c r="F36" s="8" t="n">
        <f aca="false">1.21*7.06</f>
        <v>8.5426</v>
      </c>
      <c r="G36" s="4"/>
      <c r="H36" s="4" t="n">
        <f aca="false">B36*F36+G36</f>
        <v>8.5426</v>
      </c>
      <c r="I36" s="4" t="str">
        <f aca="false">IF(A36="","","|"&amp;A36&amp;"|"&amp;B36&amp;"|"&amp;C36&amp;"|"&amp;IF(D36="","","[link]("&amp;D36&amp;")")&amp;"|"&amp;IF(E36=" ","",IF(F36="","","[link]("&amp;E36&amp;")"))&amp;"|"&amp;IF(F36="","",ROUND(F36,2))&amp;"|"&amp;IF(G36="","",ROUND(G36,2))&amp;"|"&amp;IF(H36="","",ROUND(H36,2))&amp;"|")</f>
        <v>|0826B 0.5-20N 8mm|1||[link](https://www.aliexpress.com/item/1005004016711403.html?spm=a2g0o.cart.0.0.603638daNtRRN5&amp;mp=1)||8.54||8.54|</v>
      </c>
    </row>
    <row r="37" customFormat="false" ht="15.75" hidden="false" customHeight="false" outlineLevel="0" collapsed="false">
      <c r="A37" s="1" t="s">
        <v>88</v>
      </c>
      <c r="B37" s="1" t="n">
        <v>1</v>
      </c>
      <c r="D37" s="7" t="s">
        <v>87</v>
      </c>
      <c r="E37" s="1" t="s">
        <v>15</v>
      </c>
      <c r="F37" s="8" t="n">
        <f aca="false">1.21*13.52</f>
        <v>16.3592</v>
      </c>
      <c r="G37" s="4"/>
      <c r="H37" s="4" t="n">
        <f aca="false">B37*F37+G37</f>
        <v>16.3592</v>
      </c>
      <c r="I37" s="4" t="str">
        <f aca="false">IF(A37="","","|"&amp;A37&amp;"|"&amp;B37&amp;"|"&amp;C37&amp;"|"&amp;IF(D37="","","[link]("&amp;D37&amp;")")&amp;"|"&amp;IF(E37=" ","",IF(F37="","","[link]("&amp;E37&amp;")"))&amp;"|"&amp;IF(F37="","",ROUND(F37,2))&amp;"|"&amp;IF(G37="","",ROUND(G37,2))&amp;"|"&amp;IF(H37="","",ROUND(H37,2))&amp;"|")</f>
        <v>|1050B 4.5-50N 15mm|1||[link](https://www.aliexpress.com/item/1005004016711403.html?spm=a2g0o.cart.0.0.603638daNtRRN5&amp;mp=1)||16.36||16.36|</v>
      </c>
    </row>
    <row r="38" customFormat="false" ht="15.75" hidden="false" customHeight="false" outlineLevel="0" collapsed="false">
      <c r="A38" s="1" t="s">
        <v>89</v>
      </c>
      <c r="B38" s="1" t="n">
        <v>1</v>
      </c>
      <c r="D38" s="7" t="s">
        <v>90</v>
      </c>
      <c r="E38" s="1" t="s">
        <v>15</v>
      </c>
      <c r="F38" s="8" t="n">
        <v>1.31</v>
      </c>
      <c r="G38" s="4" t="n">
        <f aca="false">1.59/2</f>
        <v>0.795</v>
      </c>
      <c r="H38" s="4" t="n">
        <f aca="false">B38*F38+G38</f>
        <v>2.105</v>
      </c>
      <c r="I38" s="4" t="str">
        <f aca="false">IF(A38="","","|"&amp;A38&amp;"|"&amp;B38&amp;"|"&amp;C38&amp;"|"&amp;IF(D38="","","[link]("&amp;D38&amp;")")&amp;"|"&amp;IF(E38=" ","",IF(F38="","","[link]("&amp;E38&amp;")"))&amp;"|"&amp;IF(F38="","",ROUND(F38,2))&amp;"|"&amp;IF(G38="","",ROUND(G38,2))&amp;"|"&amp;IF(H38="","",ROUND(H38,2))&amp;"|")</f>
        <v>|Motion Film Pressure Sensor 100g|1||[link](https://www.aliexpress.com/item/32878178151.html?spm=a2g0o.cart.0.0.603638daNtRRN5&amp;mp=1)||1.31|0.8|2.11|</v>
      </c>
    </row>
    <row r="39" customFormat="false" ht="15.75" hidden="false" customHeight="false" outlineLevel="0" collapsed="false">
      <c r="A39" s="1" t="s">
        <v>91</v>
      </c>
      <c r="B39" s="1" t="n">
        <v>1</v>
      </c>
      <c r="D39" s="7" t="s">
        <v>90</v>
      </c>
      <c r="E39" s="1" t="s">
        <v>15</v>
      </c>
      <c r="F39" s="8" t="n">
        <v>1.31</v>
      </c>
      <c r="G39" s="4" t="n">
        <f aca="false">1.59/2</f>
        <v>0.795</v>
      </c>
      <c r="H39" s="4" t="n">
        <f aca="false">B39*F39+G39</f>
        <v>2.105</v>
      </c>
      <c r="I39" s="4" t="str">
        <f aca="false">IF(A39="","","|"&amp;A39&amp;"|"&amp;B39&amp;"|"&amp;C39&amp;"|"&amp;IF(D39="","","[link]("&amp;D39&amp;")")&amp;"|"&amp;IF(E39=" ","",IF(F39="","","[link]("&amp;E39&amp;")"))&amp;"|"&amp;IF(F39="","",ROUND(F39,2))&amp;"|"&amp;IF(G39="","",ROUND(G39,2))&amp;"|"&amp;IF(H39="","",ROUND(H39,2))&amp;"|")</f>
        <v>|Motion Film Pressure Sensor 1kg|1||[link](https://www.aliexpress.com/item/32878178151.html?spm=a2g0o.cart.0.0.603638daNtRRN5&amp;mp=1)||1.31|0.8|2.11|</v>
      </c>
    </row>
    <row r="40" customFormat="false" ht="15.75" hidden="false" customHeight="false" outlineLevel="0" collapsed="false">
      <c r="A40" s="1" t="s">
        <v>92</v>
      </c>
      <c r="B40" s="1" t="n">
        <v>1</v>
      </c>
      <c r="D40" s="7" t="s">
        <v>93</v>
      </c>
      <c r="E40" s="1" t="s">
        <v>15</v>
      </c>
      <c r="F40" s="8" t="n">
        <v>3.34</v>
      </c>
      <c r="G40" s="4" t="n">
        <v>3.61</v>
      </c>
      <c r="H40" s="4" t="n">
        <f aca="false">B40*F40+G40</f>
        <v>6.95</v>
      </c>
      <c r="I40" s="4" t="str">
        <f aca="false">IF(A40="","","|"&amp;A40&amp;"|"&amp;B40&amp;"|"&amp;C40&amp;"|"&amp;IF(D40="","","[link]("&amp;D40&amp;")")&amp;"|"&amp;IF(E40=" ","",IF(F40="","","[link]("&amp;E40&amp;")"))&amp;"|"&amp;IF(F40="","",ROUND(F40,2))&amp;"|"&amp;IF(G40="","",ROUND(G40,2))&amp;"|"&amp;IF(H40="","",ROUND(H40,2))&amp;"|")</f>
        <v>|Solenoid Valve 4.5mm inner 12V|1||[link](https://www.aliexpress.com/item/1005005553905520.html?spm=a2g0o.cart.0.0.603638daNtRRN5&amp;mp=1)||3.34|3.61|6.95|</v>
      </c>
    </row>
    <row r="41" customFormat="false" ht="15.75" hidden="false" customHeight="false" outlineLevel="0" collapsed="false">
      <c r="A41" s="1" t="s">
        <v>94</v>
      </c>
      <c r="B41" s="1" t="n">
        <v>1</v>
      </c>
      <c r="E41" s="1" t="s">
        <v>15</v>
      </c>
      <c r="F41" s="8" t="n">
        <v>39.93</v>
      </c>
      <c r="G41" s="4"/>
      <c r="H41" s="4" t="n">
        <f aca="false">B41*F41+G41</f>
        <v>39.93</v>
      </c>
      <c r="I41" s="4" t="str">
        <f aca="false">IF(A41="","","|"&amp;A41&amp;"|"&amp;B41&amp;"|"&amp;C41&amp;"|"&amp;IF(D41="","","[link]("&amp;D41&amp;")")&amp;"|"&amp;IF(E41=" ","",IF(F41="","","[link]("&amp;E41&amp;")"))&amp;"|"&amp;IF(F41="","",ROUND(F41,2))&amp;"|"&amp;IF(G41="","",ROUND(G41,2))&amp;"|"&amp;IF(H41="","",ROUND(H41,2))&amp;"|")</f>
        <v>|CNC W202502152128202|1||||39.93||39.93|</v>
      </c>
    </row>
    <row r="42" customFormat="false" ht="15.75" hidden="false" customHeight="false" outlineLevel="0" collapsed="false">
      <c r="A42" s="1" t="s">
        <v>95</v>
      </c>
      <c r="E42" s="1" t="s">
        <v>15</v>
      </c>
      <c r="F42" s="8" t="n">
        <v>43.1</v>
      </c>
      <c r="G42" s="4"/>
      <c r="H42" s="4" t="n">
        <f aca="false">B42*F42+G42</f>
        <v>0</v>
      </c>
      <c r="I42" s="4" t="str">
        <f aca="false">IF(A42="","","|"&amp;A42&amp;"|"&amp;B42&amp;"|"&amp;C42&amp;"|"&amp;IF(D42="","","[link]("&amp;D42&amp;")")&amp;"|"&amp;IF(E42=" ","",IF(F42="","","[link]("&amp;E42&amp;")"))&amp;"|"&amp;IF(F42="","",ROUND(F42,2))&amp;"|"&amp;IF(G42="","",ROUND(G42,2))&amp;"|"&amp;IF(H42="","",ROUND(H42,2))&amp;"|")</f>
        <v>|CNC W202410082342933|||||43.1||0|</v>
      </c>
    </row>
    <row r="43" customFormat="false" ht="15.75" hidden="false" customHeight="false" outlineLevel="0" collapsed="false">
      <c r="A43" s="1" t="s">
        <v>96</v>
      </c>
      <c r="E43" s="1" t="s">
        <v>15</v>
      </c>
      <c r="F43" s="8" t="n">
        <v>19.99</v>
      </c>
      <c r="G43" s="4"/>
      <c r="H43" s="4" t="n">
        <f aca="false">B43*F43+G43</f>
        <v>0</v>
      </c>
      <c r="I43" s="4" t="str">
        <f aca="false">IF(A43="","","|"&amp;A43&amp;"|"&amp;B43&amp;"|"&amp;C43&amp;"|"&amp;IF(D43="","","[link]("&amp;D43&amp;")")&amp;"|"&amp;IF(E43=" ","",IF(F43="","","[link]("&amp;E43&amp;")"))&amp;"|"&amp;IF(F43="","",ROUND(F43,2))&amp;"|"&amp;IF(G43="","",ROUND(G43,2))&amp;"|"&amp;IF(H43="","",ROUND(H43,2))&amp;"|")</f>
        <v>|CNC CNC2403305000117-2352374A|||||19.99||0|</v>
      </c>
    </row>
    <row r="44" customFormat="false" ht="15.75" hidden="false" customHeight="false" outlineLevel="0" collapsed="false">
      <c r="A44" s="0"/>
      <c r="B44" s="0"/>
      <c r="C44" s="0"/>
      <c r="D44" s="0"/>
      <c r="E44" s="0"/>
      <c r="F44" s="0"/>
      <c r="G44" s="4"/>
      <c r="H44" s="4" t="n">
        <f aca="false">B44*F44+G44</f>
        <v>0</v>
      </c>
      <c r="I44" s="4" t="str">
        <f aca="false">IF(A44="","","|"&amp;A44&amp;"|"&amp;B44&amp;"|"&amp;C44&amp;"|"&amp;IF(D44="","","[link]("&amp;D44&amp;")")&amp;"|"&amp;IF(E44=" ","",IF(F44="","","[link]("&amp;E44&amp;")"))&amp;"|"&amp;IF(F44="","",ROUND(F44,2))&amp;"|"&amp;IF(G44="","",ROUND(G44,2))&amp;"|"&amp;IF(H44="","",ROUND(H44,2))&amp;"|")</f>
        <v/>
      </c>
    </row>
    <row r="45" customFormat="false" ht="15.75" hidden="false" customHeight="false" outlineLevel="0" collapsed="false">
      <c r="E45" s="1" t="s">
        <v>15</v>
      </c>
      <c r="F45" s="8"/>
      <c r="G45" s="4"/>
      <c r="H45" s="4" t="n">
        <f aca="false">B45*F45+G45</f>
        <v>0</v>
      </c>
      <c r="I45" s="4" t="str">
        <f aca="false">IF(A45="","","|"&amp;A45&amp;"|"&amp;B45&amp;"|"&amp;C45&amp;"|"&amp;IF(D45="","","[link]("&amp;D45&amp;")")&amp;"|"&amp;IF(E45=" ","",IF(F45="","","[link]("&amp;E45&amp;")"))&amp;"|"&amp;IF(F45="","",ROUND(F45,2))&amp;"|"&amp;IF(G45="","",ROUND(G45,2))&amp;"|"&amp;IF(H45="","",ROUND(H45,2))&amp;"|")</f>
        <v/>
      </c>
    </row>
    <row r="46" customFormat="false" ht="15.75" hidden="false" customHeight="false" outlineLevel="0" collapsed="false">
      <c r="E46" s="1" t="s">
        <v>15</v>
      </c>
      <c r="F46" s="8"/>
      <c r="G46" s="4"/>
      <c r="H46" s="4" t="n">
        <f aca="false">B46*F46+G46</f>
        <v>0</v>
      </c>
      <c r="I46" s="4" t="str">
        <f aca="false">IF(A46="","","|"&amp;A46&amp;"|"&amp;B46&amp;"|"&amp;C46&amp;"|"&amp;IF(D46="","","[link]("&amp;D46&amp;")")&amp;"|"&amp;IF(E46=" ","",IF(F46="","","[link]("&amp;E46&amp;")"))&amp;"|"&amp;IF(F46="","",ROUND(F46,2))&amp;"|"&amp;IF(G46="","",ROUND(G46,2))&amp;"|"&amp;IF(H46="","",ROUND(H46,2))&amp;"|")</f>
        <v/>
      </c>
    </row>
    <row r="47" customFormat="false" ht="15.75" hidden="false" customHeight="false" outlineLevel="0" collapsed="false">
      <c r="E47" s="1" t="s">
        <v>15</v>
      </c>
      <c r="F47" s="8"/>
      <c r="G47" s="4"/>
      <c r="H47" s="4" t="n">
        <f aca="false">B47*F47+G47</f>
        <v>0</v>
      </c>
      <c r="I47" s="4" t="str">
        <f aca="false">IF(A47="","","|"&amp;A47&amp;"|"&amp;B47&amp;"|"&amp;C47&amp;"|"&amp;IF(D47="","","[link]("&amp;D47&amp;")")&amp;"|"&amp;IF(E47=" ","",IF(F47="","","[link]("&amp;E47&amp;")"))&amp;"|"&amp;IF(F47="","",ROUND(F47,2))&amp;"|"&amp;IF(G47="","",ROUND(G47,2))&amp;"|"&amp;IF(H47="","",ROUND(H47,2))&amp;"|")</f>
        <v/>
      </c>
    </row>
    <row r="48" customFormat="false" ht="15.75" hidden="false" customHeight="false" outlineLevel="0" collapsed="false">
      <c r="A48" s="16" t="s">
        <v>97</v>
      </c>
      <c r="B48" s="16"/>
      <c r="C48" s="16"/>
      <c r="D48" s="16"/>
      <c r="E48" s="16"/>
      <c r="F48" s="16"/>
      <c r="G48" s="16"/>
      <c r="H48" s="17" t="n">
        <f aca="false">SUM(H3:H47)</f>
        <v>762.475133333334</v>
      </c>
      <c r="I48" s="4"/>
    </row>
    <row r="49" customFormat="false" ht="15.75" hidden="false" customHeight="false" outlineLevel="0" collapsed="false">
      <c r="A49" s="6" t="s">
        <v>98</v>
      </c>
      <c r="B49" s="1" t="n">
        <v>3</v>
      </c>
      <c r="C49" s="1" t="s">
        <v>99</v>
      </c>
      <c r="D49" s="7" t="s">
        <v>100</v>
      </c>
      <c r="E49" s="1" t="s">
        <v>15</v>
      </c>
      <c r="F49" s="8" t="n">
        <v>22.62</v>
      </c>
      <c r="G49" s="4" t="n">
        <v>6.95</v>
      </c>
      <c r="H49" s="4" t="n">
        <f aca="false">(F49*B49)+G49</f>
        <v>74.81</v>
      </c>
      <c r="I49" s="4" t="str">
        <f aca="false">IF(A49="","","|"&amp;A49&amp;"|"&amp;B49&amp;"|"&amp;C49&amp;"|"&amp;IF(D49="","","[link]("&amp;D49&amp;")")&amp;"|"&amp;IF(E49=" ","",IF(F49="","","[link]("&amp;E49&amp;")"))&amp;"|"&amp;IF(F49="","",ROUND(F49,2))&amp;"|"&amp;IF(G49="","",ROUND(G49,2))&amp;"|"&amp;IF(H49="","",ROUND(H49,2))&amp;"|")</f>
        <v>|Steppermotor|3|We actually use 1.8deg 2.4Ohm|[link](https://www.hobbyelectronica.nl/product/nema-17-stappen-motor-42byghw609/?gclid=CjwKCAjwzeqVBhAoEiwAOrEmzQjIdiWzwSG4m0PU8pULIl3Q7mAKpvSpVphw8W75q5Q6bFC5tXKSYxoC3OMQAvD_BwE)||22.62|6.95|74.81|</v>
      </c>
    </row>
    <row r="50" customFormat="false" ht="15.75" hidden="false" customHeight="false" outlineLevel="0" collapsed="false">
      <c r="A50" s="6" t="s">
        <v>101</v>
      </c>
      <c r="B50" s="1" t="n">
        <v>7</v>
      </c>
      <c r="F50" s="8" t="n">
        <v>0.149</v>
      </c>
      <c r="G50" s="4"/>
      <c r="H50" s="4" t="n">
        <f aca="false">(F50*B50)+G50</f>
        <v>1.043</v>
      </c>
      <c r="I50" s="4" t="str">
        <f aca="false">IF(A50="","","|"&amp;A50&amp;"|"&amp;B50&amp;"|"&amp;C50&amp;"|"&amp;IF(D50="","","[link]("&amp;D50&amp;")")&amp;"|"&amp;IF(E50=" ","",IF(F50="","","[link]("&amp;E50&amp;")"))&amp;"|"&amp;IF(F50="","",ROUND(F50,2))&amp;"|"&amp;IF(G50="","",ROUND(G50,2))&amp;"|"&amp;IF(H50="","",ROUND(H50,2))&amp;"|")</f>
        <v>|Connector MTA-100-2P|7|||[link]()|0.15||1.04|</v>
      </c>
    </row>
    <row r="51" customFormat="false" ht="15.75" hidden="false" customHeight="false" outlineLevel="0" collapsed="false">
      <c r="A51" s="6" t="s">
        <v>102</v>
      </c>
      <c r="B51" s="1" t="n">
        <v>1</v>
      </c>
      <c r="F51" s="8" t="n">
        <v>0.143</v>
      </c>
      <c r="G51" s="4"/>
      <c r="H51" s="4" t="n">
        <f aca="false">(F51*B51)+G51</f>
        <v>0.143</v>
      </c>
      <c r="I51" s="4" t="str">
        <f aca="false">IF(A51="","","|"&amp;A51&amp;"|"&amp;B51&amp;"|"&amp;C51&amp;"|"&amp;IF(D51="","","[link]("&amp;D51&amp;")")&amp;"|"&amp;IF(E51=" ","",IF(F51="","","[link]("&amp;E51&amp;")"))&amp;"|"&amp;IF(F51="","",ROUND(F51,2))&amp;"|"&amp;IF(G51="","",ROUND(G51,2))&amp;"|"&amp;IF(H51="","",ROUND(H51,2))&amp;"|")</f>
        <v>|Connector MTA-100-3P|1|||[link]()|0.14||0.14|</v>
      </c>
    </row>
    <row r="52" customFormat="false" ht="15.75" hidden="false" customHeight="false" outlineLevel="0" collapsed="false">
      <c r="A52" s="6" t="s">
        <v>103</v>
      </c>
      <c r="B52" s="1" t="n">
        <v>4</v>
      </c>
      <c r="F52" s="8" t="n">
        <v>0.235</v>
      </c>
      <c r="G52" s="4"/>
      <c r="H52" s="4" t="n">
        <f aca="false">(F52*B52)+G52</f>
        <v>0.94</v>
      </c>
      <c r="I52" s="4" t="str">
        <f aca="false">IF(A52="","","|"&amp;A52&amp;"|"&amp;B52&amp;"|"&amp;C52&amp;"|"&amp;IF(D52="","","[link]("&amp;D52&amp;")")&amp;"|"&amp;IF(E52=" ","",IF(F52="","","[link]("&amp;E52&amp;")"))&amp;"|"&amp;IF(F52="","",ROUND(F52,2))&amp;"|"&amp;IF(G52="","",ROUND(G52,2))&amp;"|"&amp;IF(H52="","",ROUND(H52,2))&amp;"|")</f>
        <v>|Connector MTA-100-4P|4|||[link]()|0.24||0.94|</v>
      </c>
    </row>
    <row r="53" customFormat="false" ht="15.75" hidden="false" customHeight="false" outlineLevel="0" collapsed="false">
      <c r="A53" s="6" t="s">
        <v>104</v>
      </c>
      <c r="B53" s="1" t="n">
        <v>2</v>
      </c>
      <c r="E53" s="1" t="s">
        <v>15</v>
      </c>
      <c r="F53" s="8" t="n">
        <v>0.22</v>
      </c>
      <c r="G53" s="4"/>
      <c r="H53" s="4" t="n">
        <f aca="false">(F53*B53)+G53</f>
        <v>0.44</v>
      </c>
      <c r="I53" s="4" t="str">
        <f aca="false">IF(A53="","","|"&amp;A53&amp;"|"&amp;B53&amp;"|"&amp;C53&amp;"|"&amp;IF(D53="","","[link]("&amp;D53&amp;")")&amp;"|"&amp;IF(E53=" ","",IF(F53="","","[link]("&amp;E53&amp;")"))&amp;"|"&amp;IF(F53="","",ROUND(F53,2))&amp;"|"&amp;IF(G53="","",ROUND(G53,2))&amp;"|"&amp;IF(H53="","",ROUND(H53,2))&amp;"|")</f>
        <v>|Connector MTA-156-2P|2||||0.22||0.44|</v>
      </c>
    </row>
    <row r="54" customFormat="false" ht="15.75" hidden="false" customHeight="false" outlineLevel="0" collapsed="false">
      <c r="A54" s="6" t="s">
        <v>105</v>
      </c>
      <c r="B54" s="1" t="n">
        <v>7</v>
      </c>
      <c r="C54" s="1" t="s">
        <v>106</v>
      </c>
      <c r="F54" s="8" t="n">
        <v>0.105</v>
      </c>
      <c r="G54" s="4"/>
      <c r="H54" s="4" t="n">
        <f aca="false">(F54*B54)+G54</f>
        <v>0.735</v>
      </c>
      <c r="I54" s="4" t="str">
        <f aca="false">IF(A54="","","|"&amp;A54&amp;"|"&amp;B54&amp;"|"&amp;C54&amp;"|"&amp;IF(D54="","","[link]("&amp;D54&amp;")")&amp;"|"&amp;IF(E54=" ","",IF(F54="","","[link]("&amp;E54&amp;")"))&amp;"|"&amp;IF(F54="","",ROUND(F54,2))&amp;"|"&amp;IF(G54="","",ROUND(G54,2))&amp;"|"&amp;IF(H54="","",ROUND(H54,2))&amp;"|")</f>
        <v>|PCB-MTA-100-2P|7|H2,H3,H4,H11,H12,H13,H14||[link]()|0.11||0.74|</v>
      </c>
    </row>
    <row r="55" customFormat="false" ht="15.75" hidden="false" customHeight="false" outlineLevel="0" collapsed="false">
      <c r="A55" s="6" t="s">
        <v>107</v>
      </c>
      <c r="B55" s="1" t="n">
        <v>1</v>
      </c>
      <c r="C55" s="1" t="s">
        <v>108</v>
      </c>
      <c r="D55" s="7" t="s">
        <v>109</v>
      </c>
      <c r="E55" s="1" t="s">
        <v>15</v>
      </c>
      <c r="F55" s="8" t="n">
        <v>0.072</v>
      </c>
      <c r="G55" s="4"/>
      <c r="H55" s="4" t="n">
        <f aca="false">(F55*B55)+G55</f>
        <v>0.072</v>
      </c>
      <c r="I55" s="4" t="str">
        <f aca="false">IF(A55="","","|"&amp;A55&amp;"|"&amp;B55&amp;"|"&amp;C55&amp;"|"&amp;IF(D55="","","[link]("&amp;D55&amp;")")&amp;"|"&amp;IF(E55=" ","",IF(F55="","","[link]("&amp;E55&amp;")"))&amp;"|"&amp;IF(F55="","",ROUND(F55,2))&amp;"|"&amp;IF(G55="","",ROUND(G55,2))&amp;"|"&amp;IF(H55="","",ROUND(H55,2))&amp;"|")</f>
        <v>|PCB-MTA-100-3P|1|for LED D=H5|[link](http://www.te.com/commerce/DocumentDelivery/DDEController?Action=srchrtrv&amp;DocNm=640454&amp;DocType=Customer+Drawing&amp;DocLang=English&amp;PartCntxt=640454-5)||0.07||0.07|</v>
      </c>
    </row>
    <row r="56" customFormat="false" ht="15.75" hidden="false" customHeight="false" outlineLevel="0" collapsed="false">
      <c r="A56" s="6" t="s">
        <v>110</v>
      </c>
      <c r="B56" s="1" t="n">
        <v>4</v>
      </c>
      <c r="C56" s="1" t="s">
        <v>111</v>
      </c>
      <c r="D56" s="7" t="s">
        <v>109</v>
      </c>
      <c r="E56" s="1" t="s">
        <v>15</v>
      </c>
      <c r="F56" s="8" t="n">
        <v>0.128</v>
      </c>
      <c r="G56" s="4"/>
      <c r="H56" s="4" t="n">
        <f aca="false">(F56*B56)+G56</f>
        <v>0.512</v>
      </c>
      <c r="I56" s="4" t="str">
        <f aca="false">IF(A56="","","|"&amp;A56&amp;"|"&amp;B56&amp;"|"&amp;C56&amp;"|"&amp;IF(D56="","","[link]("&amp;D56&amp;")")&amp;"|"&amp;IF(E56=" ","",IF(F56="","","[link]("&amp;E56&amp;")"))&amp;"|"&amp;IF(F56="","",ROUND(F56,2))&amp;"|"&amp;IF(G56="","",ROUND(G56,2))&amp;"|"&amp;IF(H56="","",ROUND(H56,2))&amp;"|")</f>
        <v>|PCB-MTA-100-4P|4|H8, H9, H10,H16|[link](http://www.te.com/commerce/DocumentDelivery/DDEController?Action=srchrtrv&amp;DocNm=640454&amp;DocType=Customer+Drawing&amp;DocLang=English&amp;PartCntxt=640454-5)||0.13||0.51|</v>
      </c>
    </row>
    <row r="57" customFormat="false" ht="15.75" hidden="false" customHeight="false" outlineLevel="0" collapsed="false">
      <c r="A57" s="6" t="s">
        <v>112</v>
      </c>
      <c r="B57" s="1" t="n">
        <v>2</v>
      </c>
      <c r="C57" s="1" t="s">
        <v>113</v>
      </c>
      <c r="F57" s="8" t="n">
        <v>0.105</v>
      </c>
      <c r="G57" s="4"/>
      <c r="H57" s="4" t="n">
        <f aca="false">(F57*B57)+G57</f>
        <v>0.21</v>
      </c>
      <c r="I57" s="4" t="str">
        <f aca="false">IF(A57="","","|"&amp;A57&amp;"|"&amp;B57&amp;"|"&amp;C57&amp;"|"&amp;IF(D57="","","[link]("&amp;D57&amp;")")&amp;"|"&amp;IF(E57=" ","",IF(F57="","","[link]("&amp;E57&amp;")"))&amp;"|"&amp;IF(F57="","",ROUND(F57,2))&amp;"|"&amp;IF(G57="","",ROUND(G57,2))&amp;"|"&amp;IF(H57="","",ROUND(H57,2))&amp;"|")</f>
        <v>|PCB-MTA-156-2P|2|H6, H7||[link]()|0.11||0.21|</v>
      </c>
    </row>
    <row r="58" customFormat="false" ht="15.75" hidden="false" customHeight="false" outlineLevel="0" collapsed="false">
      <c r="A58" s="6" t="s">
        <v>114</v>
      </c>
      <c r="B58" s="1" t="n">
        <v>4</v>
      </c>
      <c r="C58" s="1" t="s">
        <v>115</v>
      </c>
      <c r="D58" s="1" t="s">
        <v>15</v>
      </c>
      <c r="F58" s="8" t="n">
        <v>0.933</v>
      </c>
      <c r="G58" s="4"/>
      <c r="H58" s="4" t="n">
        <f aca="false">(F58*B58)+G58</f>
        <v>3.732</v>
      </c>
      <c r="I58" s="4" t="str">
        <f aca="false">IF(A58="","","|"&amp;A58&amp;"|"&amp;B58&amp;"|"&amp;C58&amp;"|"&amp;IF(D58="","","[link]("&amp;D58&amp;")")&amp;"|"&amp;IF(E58=" ","",IF(F58="","","[link]("&amp;E58&amp;")"))&amp;"|"&amp;IF(F58="","",ROUND(F58,2))&amp;"|"&amp;IF(G58="","",ROUND(G58,2))&amp;"|"&amp;IF(H58="","",ROUND(H58,2))&amp;"|")</f>
        <v>|PCB-L2203N|4|Q1,Q2,Q3,Q4|[link]( )|[link]()|0.93||3.73|</v>
      </c>
    </row>
    <row r="59" customFormat="false" ht="15.75" hidden="false" customHeight="false" outlineLevel="0" collapsed="false">
      <c r="A59" s="1" t="s">
        <v>116</v>
      </c>
      <c r="B59" s="5" t="n">
        <v>6</v>
      </c>
      <c r="C59" s="1" t="s">
        <v>117</v>
      </c>
      <c r="D59" s="1" t="s">
        <v>15</v>
      </c>
      <c r="F59" s="8" t="n">
        <f aca="false">29/3725</f>
        <v>0.00778523489932886</v>
      </c>
      <c r="G59" s="8"/>
      <c r="H59" s="4" t="n">
        <f aca="false">(F59*B59)+G59</f>
        <v>0.0467114093959732</v>
      </c>
      <c r="I59" s="4" t="str">
        <f aca="false">IF(A59="","","|"&amp;A59&amp;"|"&amp;B59&amp;"|"&amp;C59&amp;"|"&amp;IF(D59="","","[link]("&amp;D59&amp;")")&amp;"|"&amp;IF(E59=" ","",IF(F59="","","[link]("&amp;E59&amp;")"))&amp;"|"&amp;IF(F59="","",ROUND(F59,2))&amp;"|"&amp;IF(G59="","",ROUND(G59,2))&amp;"|"&amp;IF(H59="","",ROUND(H59,2))&amp;"|")</f>
        <v>|PCB-C0805 100nF|6|C1,C2,C3,C4,C5,C6|[link]( )|[link]()|0.01||0.05|</v>
      </c>
    </row>
    <row r="60" customFormat="false" ht="15.75" hidden="false" customHeight="false" outlineLevel="0" collapsed="false">
      <c r="A60" s="1" t="s">
        <v>118</v>
      </c>
      <c r="B60" s="1" t="n">
        <v>7</v>
      </c>
      <c r="C60" s="1" t="s">
        <v>119</v>
      </c>
      <c r="D60" s="1" t="s">
        <v>15</v>
      </c>
      <c r="F60" s="8" t="n">
        <f aca="false">29/3725</f>
        <v>0.00778523489932886</v>
      </c>
      <c r="G60" s="4"/>
      <c r="H60" s="4" t="n">
        <f aca="false">(F60*B60)+G60</f>
        <v>0.054496644295302</v>
      </c>
      <c r="I60" s="4" t="str">
        <f aca="false">IF(A60="","","|"&amp;A60&amp;"|"&amp;B60&amp;"|"&amp;C60&amp;"|"&amp;IF(D60="","","[link]("&amp;D60&amp;")")&amp;"|"&amp;IF(E60=" ","",IF(F60="","","[link]("&amp;E60&amp;")"))&amp;"|"&amp;IF(F60="","",ROUND(F60,2))&amp;"|"&amp;IF(G60="","",ROUND(G60,2))&amp;"|"&amp;IF(H60="","",ROUND(H60,2))&amp;"|")</f>
        <v>|PCB-R0805 1k|7|R1,R2,R3,R4,R5,R6,R7|[link]( )|[link]()|0.01||0.05|</v>
      </c>
    </row>
    <row r="61" customFormat="false" ht="15.75" hidden="false" customHeight="false" outlineLevel="0" collapsed="false">
      <c r="A61" s="1" t="s">
        <v>120</v>
      </c>
      <c r="B61" s="1" t="n">
        <v>1</v>
      </c>
      <c r="C61" s="1" t="s">
        <v>121</v>
      </c>
      <c r="D61" s="1" t="s">
        <v>15</v>
      </c>
      <c r="F61" s="8" t="n">
        <f aca="false">29/3725</f>
        <v>0.00778523489932886</v>
      </c>
      <c r="G61" s="4"/>
      <c r="H61" s="4" t="n">
        <f aca="false">(F61*B61)+G61</f>
        <v>0.00778523489932886</v>
      </c>
      <c r="I61" s="4" t="str">
        <f aca="false">IF(A61="","","|"&amp;A61&amp;"|"&amp;B61&amp;"|"&amp;C61&amp;"|"&amp;IF(D61="","","[link]("&amp;D61&amp;")")&amp;"|"&amp;IF(E61=" ","",IF(F61="","","[link]("&amp;E61&amp;")"))&amp;"|"&amp;IF(F61="","",ROUND(F61,2))&amp;"|"&amp;IF(G61="","",ROUND(G61,2))&amp;"|"&amp;IF(H61="","",ROUND(H61,2))&amp;"|")</f>
        <v>|PCB-R0805 100R|1|R8|[link]( )|[link]()|0.01||0.01|</v>
      </c>
    </row>
    <row r="62" customFormat="false" ht="15.75" hidden="false" customHeight="false" outlineLevel="0" collapsed="false">
      <c r="A62" s="1" t="s">
        <v>122</v>
      </c>
      <c r="B62" s="1" t="n">
        <v>1</v>
      </c>
      <c r="C62" s="1" t="s">
        <v>123</v>
      </c>
      <c r="D62" s="1" t="s">
        <v>15</v>
      </c>
      <c r="F62" s="8" t="n">
        <f aca="false">29/3725</f>
        <v>0.00778523489932886</v>
      </c>
      <c r="G62" s="4"/>
      <c r="H62" s="4" t="n">
        <f aca="false">(F62*B62)+G62</f>
        <v>0.00778523489932886</v>
      </c>
      <c r="I62" s="4" t="str">
        <f aca="false">IF(A62="","","|"&amp;A62&amp;"|"&amp;B62&amp;"|"&amp;C62&amp;"|"&amp;IF(D62="","","[link]("&amp;D62&amp;")")&amp;"|"&amp;IF(E62=" ","",IF(F62="","","[link]("&amp;E62&amp;")"))&amp;"|"&amp;IF(F62="","",ROUND(F62,2))&amp;"|"&amp;IF(G62="","",ROUND(G62,2))&amp;"|"&amp;IF(H62="","",ROUND(H62,2))&amp;"|")</f>
        <v>|PCB-R0805 10R|1|R9|[link]( )|[link]()|0.01||0.01|</v>
      </c>
    </row>
    <row r="63" customFormat="false" ht="15.75" hidden="false" customHeight="false" outlineLevel="0" collapsed="false">
      <c r="A63" s="6" t="s">
        <v>124</v>
      </c>
      <c r="B63" s="1" t="n">
        <v>1</v>
      </c>
      <c r="C63" s="1" t="s">
        <v>125</v>
      </c>
      <c r="D63" s="1" t="s">
        <v>15</v>
      </c>
      <c r="F63" s="8" t="n">
        <f aca="false">59.39/15</f>
        <v>3.95933333333333</v>
      </c>
      <c r="G63" s="4"/>
      <c r="H63" s="4" t="n">
        <f aca="false">(F63*B63)+G63</f>
        <v>3.95933333333333</v>
      </c>
      <c r="I63" s="4" t="str">
        <f aca="false">IF(A63="","","|"&amp;A63&amp;"|"&amp;B63&amp;"|"&amp;C63&amp;"|"&amp;IF(D63="","","[link]("&amp;D63&amp;")")&amp;"|"&amp;IF(E63=" ","",IF(F63="","","[link]("&amp;E63&amp;")"))&amp;"|"&amp;IF(F63="","",ROUND(F63,2))&amp;"|"&amp;IF(G63="","",ROUND(G63,2))&amp;"|"&amp;IF(H63="","",ROUND(H63,2))&amp;"|")</f>
        <v>|PCB-DOIT ESP32 DEVKIT V1|1|U1|[link]( )|[link]()|3.96||3.96|</v>
      </c>
    </row>
    <row r="64" customFormat="false" ht="15.75" hidden="false" customHeight="false" outlineLevel="0" collapsed="false">
      <c r="A64" s="6" t="s">
        <v>126</v>
      </c>
      <c r="B64" s="1" t="n">
        <v>1</v>
      </c>
      <c r="C64" s="1" t="s">
        <v>127</v>
      </c>
      <c r="D64" s="7" t="s">
        <v>128</v>
      </c>
      <c r="E64" s="1" t="s">
        <v>15</v>
      </c>
      <c r="F64" s="8" t="n">
        <v>7.5735</v>
      </c>
      <c r="G64" s="4"/>
      <c r="H64" s="4" t="n">
        <f aca="false">(F64*B64)+G64</f>
        <v>7.5735</v>
      </c>
      <c r="I64" s="4" t="str">
        <f aca="false">IF(A64="","","|"&amp;A64&amp;"|"&amp;B64&amp;"|"&amp;C64&amp;"|"&amp;IF(D64="","","[link]("&amp;D64&amp;")")&amp;"|"&amp;IF(E64=" ","",IF(F64="","","[link]("&amp;E64&amp;")"))&amp;"|"&amp;IF(F64="","",ROUND(F64,2))&amp;"|"&amp;IF(G64="","",ROUND(G64,2))&amp;"|"&amp;IF(H64="","",ROUND(H64,2))&amp;"|")</f>
        <v>|PCB-R78B5020|1|U2|[link](https://nl.farnell.com/recom-power/r-78b5-0-1-0l/dc-dc-converter-5v-1a/dp/1793162)||7.57||7.57|</v>
      </c>
    </row>
    <row r="65" customFormat="false" ht="15.75" hidden="false" customHeight="false" outlineLevel="0" collapsed="false">
      <c r="A65" s="6" t="s">
        <v>129</v>
      </c>
      <c r="B65" s="1" t="n">
        <v>2</v>
      </c>
      <c r="C65" s="1" t="s">
        <v>130</v>
      </c>
      <c r="F65" s="8" t="n">
        <v>0.061</v>
      </c>
      <c r="G65" s="4" t="n">
        <v>0</v>
      </c>
      <c r="H65" s="4" t="n">
        <f aca="false">(F65*B65)+G65</f>
        <v>0.122</v>
      </c>
      <c r="I65" s="4" t="str">
        <f aca="false">IF(A65="","","|"&amp;A65&amp;"|"&amp;B65&amp;"|"&amp;C65&amp;"|"&amp;IF(D65="","","[link]("&amp;D65&amp;")")&amp;"|"&amp;IF(E65=" ","",IF(F65="","","[link]("&amp;E65&amp;")"))&amp;"|"&amp;IF(F65="","",ROUND(F65,2))&amp;"|"&amp;IF(G65="","",ROUND(G65,2))&amp;"|"&amp;IF(H65="","",ROUND(H65,2))&amp;"|")</f>
        <v>|PCB-SIL header|2|Steppers, H1||[link]()|0.06|0|0.12|</v>
      </c>
    </row>
    <row r="66" customFormat="false" ht="15.75" hidden="false" customHeight="false" outlineLevel="0" collapsed="false">
      <c r="A66" s="1" t="s">
        <v>131</v>
      </c>
      <c r="B66" s="1" t="n">
        <v>1</v>
      </c>
      <c r="F66" s="8"/>
      <c r="G66" s="4"/>
      <c r="H66" s="4" t="n">
        <f aca="false">(F66*B66)+G66</f>
        <v>0</v>
      </c>
      <c r="I66" s="4" t="str">
        <f aca="false">IF(A66="","","|"&amp;A66&amp;"|"&amp;B66&amp;"|"&amp;C66&amp;"|"&amp;IF(D66="","","[link]("&amp;D66&amp;")")&amp;"|"&amp;IF(E66=" ","",IF(F66="","","[link]("&amp;E66&amp;")"))&amp;"|"&amp;IF(F66="","",ROUND(F66,2))&amp;"|"&amp;IF(G66="","",ROUND(G66,2))&amp;"|"&amp;IF(H66="","",ROUND(H66,2))&amp;"|")</f>
        <v>|12V power supply|1||||||0|</v>
      </c>
    </row>
    <row r="67" customFormat="false" ht="15.75" hidden="false" customHeight="false" outlineLevel="0" collapsed="false">
      <c r="A67" s="1" t="s">
        <v>132</v>
      </c>
      <c r="F67" s="8"/>
      <c r="G67" s="4"/>
      <c r="H67" s="4" t="n">
        <f aca="false">(F67*B67)+G67</f>
        <v>0</v>
      </c>
      <c r="I67" s="4" t="str">
        <f aca="false">IF(A67="","","|"&amp;A67&amp;"|"&amp;B67&amp;"|"&amp;C67&amp;"|"&amp;IF(D67="","","[link]("&amp;D67&amp;")")&amp;"|"&amp;IF(E67=" ","",IF(F67="","","[link]("&amp;E67&amp;")"))&amp;"|"&amp;IF(F67="","",ROUND(F67,2))&amp;"|"&amp;IF(G67="","",ROUND(G67,2))&amp;"|"&amp;IF(H67="","",ROUND(H67,2))&amp;"|")</f>
        <v>|Wires|||||||0|</v>
      </c>
    </row>
    <row r="68" customFormat="false" ht="15.75" hidden="false" customHeight="false" outlineLevel="0" collapsed="false">
      <c r="A68" s="1" t="s">
        <v>133</v>
      </c>
      <c r="F68" s="8"/>
      <c r="G68" s="4"/>
      <c r="H68" s="4" t="n">
        <f aca="false">(F68*B68)+G68</f>
        <v>0</v>
      </c>
      <c r="I68" s="4" t="str">
        <f aca="false">IF(A68="","","|"&amp;A68&amp;"|"&amp;B68&amp;"|"&amp;C68&amp;"|"&amp;IF(D68="","","[link]("&amp;D68&amp;")")&amp;"|"&amp;IF(E68=" ","",IF(F68="","","[link]("&amp;E68&amp;")"))&amp;"|"&amp;IF(F68="","",ROUND(F68,2))&amp;"|"&amp;IF(G68="","",ROUND(G68,2))&amp;"|"&amp;IF(H68="","",ROUND(H68,2))&amp;"|")</f>
        <v>|Wire sleeves?|||||||0|</v>
      </c>
    </row>
    <row r="69" customFormat="false" ht="15.75" hidden="false" customHeight="false" outlineLevel="0" collapsed="false">
      <c r="A69" s="1" t="s">
        <v>134</v>
      </c>
      <c r="B69" s="1" t="n">
        <v>13</v>
      </c>
      <c r="F69" s="8" t="n">
        <f aca="false">1109.68/13</f>
        <v>85.36</v>
      </c>
      <c r="G69" s="4"/>
      <c r="H69" s="4" t="n">
        <f aca="false">(F69*B69)+G69</f>
        <v>1109.68</v>
      </c>
      <c r="I69" s="4" t="str">
        <f aca="false">IF(A69="","","|"&amp;A69&amp;"|"&amp;B69&amp;"|"&amp;C69&amp;"|"&amp;IF(D69="","","[link]("&amp;D69&amp;")")&amp;"|"&amp;IF(E69=" ","",IF(F69="","","[link]("&amp;E69&amp;")"))&amp;"|"&amp;IF(F69="","",ROUND(F69,2))&amp;"|"&amp;IF(G69="","",ROUND(G69,2))&amp;"|"&amp;IF(H69="","",ROUND(H69,2))&amp;"|")</f>
        <v>|PCBway Dispensers|13|||[link]()|85.36||1109.68|</v>
      </c>
    </row>
    <row r="70" customFormat="false" ht="15.75" hidden="false" customHeight="false" outlineLevel="0" collapsed="false">
      <c r="A70" s="1" t="s">
        <v>135</v>
      </c>
      <c r="B70" s="1" t="n">
        <v>50</v>
      </c>
      <c r="D70" s="18" t="s">
        <v>136</v>
      </c>
      <c r="E70" s="1" t="s">
        <v>15</v>
      </c>
      <c r="F70" s="8"/>
      <c r="G70" s="4"/>
      <c r="H70" s="4" t="n">
        <f aca="false">(F70*B70)+G70</f>
        <v>0</v>
      </c>
      <c r="I70" s="4" t="str">
        <f aca="false">IF(A70="","","|"&amp;A70&amp;"|"&amp;B70&amp;"|"&amp;C70&amp;"|"&amp;IF(D70="","","[link]("&amp;D70&amp;")")&amp;"|"&amp;IF(E70=" ","",IF(F70="","","[link]("&amp;E70&amp;")"))&amp;"|"&amp;IF(F70="","",ROUND(F70,2))&amp;"|"&amp;IF(G70="","",ROUND(G70,2))&amp;"|"&amp;IF(H70="","",ROUND(H70,2))&amp;"|")</f>
        <v>|0805 4.7UH|50||[link](https://nl.aliexpress.com/item/1005006311167114.html?spm=a2g0o.order_list.order_list_main.5.3f8379d22lLZlI&amp;gatewayAdapt=glo2nld)||||0|</v>
      </c>
    </row>
    <row r="71" customFormat="false" ht="15.75" hidden="false" customHeight="false" outlineLevel="0" collapsed="false">
      <c r="A71" s="1" t="s">
        <v>137</v>
      </c>
      <c r="B71" s="1" t="n">
        <v>2</v>
      </c>
      <c r="D71" s="18" t="s">
        <v>138</v>
      </c>
      <c r="E71" s="1" t="s">
        <v>15</v>
      </c>
      <c r="F71" s="8" t="n">
        <f aca="false">3.58/2</f>
        <v>1.79</v>
      </c>
      <c r="G71" s="4"/>
      <c r="H71" s="4" t="n">
        <f aca="false">(F71*B71)+G71</f>
        <v>3.58</v>
      </c>
      <c r="I71" s="4" t="str">
        <f aca="false">IF(A71="","","|"&amp;A71&amp;"|"&amp;B71&amp;"|"&amp;C71&amp;"|"&amp;IF(D71="","","[link]("&amp;D71&amp;")")&amp;"|"&amp;IF(E71=" ","",IF(F71="","","[link]("&amp;E71&amp;")"))&amp;"|"&amp;IF(F71="","",ROUND(F71,2))&amp;"|"&amp;IF(G71="","",ROUND(G71,2))&amp;"|"&amp;IF(H71="","",ROUND(H71,2))&amp;"|")</f>
        <v>|heatshrink|2||[link](https://nl.aliexpress.com/item/1005006321995370.html?spm=a2g0o.order_list.order_list_main.17.3f8379d22lLZlI&amp;gatewayAdapt=glo2nld)||1.79||3.58|</v>
      </c>
    </row>
    <row r="72" customFormat="false" ht="15.75" hidden="false" customHeight="false" outlineLevel="0" collapsed="false">
      <c r="A72" s="1" t="s">
        <v>139</v>
      </c>
      <c r="B72" s="1" t="n">
        <v>100</v>
      </c>
      <c r="D72" s="18" t="s">
        <v>140</v>
      </c>
      <c r="E72" s="1" t="s">
        <v>15</v>
      </c>
      <c r="F72" s="8" t="n">
        <f aca="false">3.5/100</f>
        <v>0.035</v>
      </c>
      <c r="G72" s="4"/>
      <c r="H72" s="4" t="n">
        <f aca="false">(F72*B72)+G72</f>
        <v>3.5</v>
      </c>
      <c r="I72" s="4" t="str">
        <f aca="false">IF(A72="","","|"&amp;A72&amp;"|"&amp;B72&amp;"|"&amp;C72&amp;"|"&amp;IF(D72="","","[link]("&amp;D72&amp;")")&amp;"|"&amp;IF(E72=" ","",IF(F72="","","[link]("&amp;E72&amp;")"))&amp;"|"&amp;IF(F72="","",ROUND(F72,2))&amp;"|"&amp;IF(G72="","",ROUND(G72,2))&amp;"|"&amp;IF(H72="","",ROUND(H72,2))&amp;"|")</f>
        <v>|Diode IN4007|100||[link](www.aliexpress.com/item/1005006852412154.html?spm=a2g0o.order_list.order_list_main.33.3f8379d22lLZlI)||0.04||3.5|</v>
      </c>
    </row>
    <row r="73" customFormat="false" ht="15.75" hidden="false" customHeight="false" outlineLevel="0" collapsed="false">
      <c r="A73" s="1" t="s">
        <v>141</v>
      </c>
      <c r="B73" s="1" t="n">
        <v>20</v>
      </c>
      <c r="D73" s="18" t="s">
        <v>142</v>
      </c>
      <c r="E73" s="1" t="s">
        <v>15</v>
      </c>
      <c r="F73" s="8" t="n">
        <f aca="false">(10.42+10.39)/20</f>
        <v>1.0405</v>
      </c>
      <c r="G73" s="4"/>
      <c r="H73" s="4" t="n">
        <f aca="false">(F73*B73)+G73</f>
        <v>20.81</v>
      </c>
      <c r="I73" s="4" t="str">
        <f aca="false">IF(A73="","","|"&amp;A73&amp;"|"&amp;B73&amp;"|"&amp;C73&amp;"|"&amp;IF(D73="","","[link]("&amp;D73&amp;")")&amp;"|"&amp;IF(E73=" ","",IF(F73="","","[link]("&amp;E73&amp;")"))&amp;"|"&amp;IF(F73="","",ROUND(F73,2))&amp;"|"&amp;IF(G73="","",ROUND(G73,2))&amp;"|"&amp;IF(H73="","",ROUND(H73,2))&amp;"|")</f>
        <v>|ESP32 C3|20||[link](https://nl.aliexpress.com/item/1005007446928015.html?spm=a2g0o.order_list.order_list_main.70.3f8379d22lLZlI&amp;gatewayAdapt=glo2nld)||1.04||20.81|</v>
      </c>
    </row>
    <row r="74" customFormat="false" ht="15.75" hidden="false" customHeight="false" outlineLevel="0" collapsed="false">
      <c r="A74" s="1" t="s">
        <v>143</v>
      </c>
      <c r="B74" s="1" t="n">
        <f aca="false">5*5</f>
        <v>25</v>
      </c>
      <c r="D74" s="18" t="s">
        <v>144</v>
      </c>
      <c r="E74" s="1" t="s">
        <v>15</v>
      </c>
      <c r="F74" s="8" t="n">
        <f aca="false">26.88/10</f>
        <v>2.688</v>
      </c>
      <c r="G74" s="4"/>
      <c r="H74" s="4" t="n">
        <f aca="false">(F74*B74)+G74</f>
        <v>67.2</v>
      </c>
      <c r="I74" s="4" t="str">
        <f aca="false">IF(A74="","","|"&amp;A74&amp;"|"&amp;B74&amp;"|"&amp;C74&amp;"|"&amp;IF(D74="","","[link]("&amp;D74&amp;")")&amp;"|"&amp;IF(E74=" ","",IF(F74="","","[link]("&amp;E74&amp;")"))&amp;"|"&amp;IF(F74="","",ROUND(F74,2))&amp;"|"&amp;IF(G74="","",ROUND(G74,2))&amp;"|"&amp;IF(H74="","",ROUND(H74,2))&amp;"|")</f>
        <v>|Dispenser magnet|25||[link](https://nl.aliexpress.com/item/1005006531774076.html?spm=a2g0o.order_list.order_list_main.81.3f8379d22lLZlI&amp;gatewayAdapt=glo2nld)||2.69||67.2|</v>
      </c>
    </row>
    <row r="75" customFormat="false" ht="15.75" hidden="false" customHeight="false" outlineLevel="0" collapsed="false">
      <c r="A75" s="1" t="s">
        <v>145</v>
      </c>
      <c r="B75" s="1" t="n">
        <f aca="false">225*3</f>
        <v>675</v>
      </c>
      <c r="D75" s="18" t="s">
        <v>146</v>
      </c>
      <c r="E75" s="1" t="s">
        <v>15</v>
      </c>
      <c r="F75" s="8" t="n">
        <f aca="false">8.82/675</f>
        <v>0.0130666666666667</v>
      </c>
      <c r="G75" s="4"/>
      <c r="H75" s="4" t="n">
        <f aca="false">(F75*B75)+G75</f>
        <v>8.82</v>
      </c>
      <c r="I75" s="4" t="str">
        <f aca="false">IF(A75="","","|"&amp;A75&amp;"|"&amp;B75&amp;"|"&amp;C75&amp;"|"&amp;IF(D75="","","[link]("&amp;D75&amp;")")&amp;"|"&amp;IF(E75=" ","",IF(F75="","","[link]("&amp;E75&amp;")"))&amp;"|"&amp;IF(F75="","",ROUND(F75,2))&amp;"|"&amp;IF(G75="","",ROUND(G75,2))&amp;"|"&amp;IF(H75="","",ROUND(H75,2))&amp;"|")</f>
        <v>|O-rings dispenserbold|675||[link](https://nl.aliexpress.com/item/1005008478445571.html?spm=a2g0o.order_list.order_list_main.101.3f8379d22lLZlI&amp;gatewayAdapt=glo2nld)||0.01||8.82|</v>
      </c>
    </row>
    <row r="76" customFormat="false" ht="15.75" hidden="false" customHeight="false" outlineLevel="0" collapsed="false">
      <c r="A76" s="1" t="s">
        <v>147</v>
      </c>
      <c r="B76" s="1" t="n">
        <v>20</v>
      </c>
      <c r="D76" s="18" t="s">
        <v>148</v>
      </c>
      <c r="E76" s="1" t="s">
        <v>15</v>
      </c>
      <c r="F76" s="8" t="n">
        <f aca="false">2.18/20</f>
        <v>0.109</v>
      </c>
      <c r="G76" s="4"/>
      <c r="H76" s="4" t="n">
        <f aca="false">(F76*B76)+G76</f>
        <v>2.18</v>
      </c>
      <c r="I76" s="4" t="str">
        <f aca="false">IF(A76="","","|"&amp;A76&amp;"|"&amp;B76&amp;"|"&amp;C76&amp;"|"&amp;IF(D76="","","[link]("&amp;D76&amp;")")&amp;"|"&amp;IF(E76=" ","",IF(F76="","","[link]("&amp;E76&amp;")"))&amp;"|"&amp;IF(F76="","",ROUND(F76,2))&amp;"|"&amp;IF(G76="","",ROUND(G76,2))&amp;"|"&amp;IF(H76="","",ROUND(H76,2))&amp;"|")</f>
        <v>|M5 bolt 5mm|20||[link](https://nl.aliexpress.com/item/32810872544.html?spm=a2g0o.order_list.order_list_main.140.3f8379d22lLZlI&amp;gatewayAdapt=glo2nld)||0.11||2.18|</v>
      </c>
    </row>
    <row r="77" customFormat="false" ht="15.75" hidden="false" customHeight="false" outlineLevel="0" collapsed="false">
      <c r="A77" s="1" t="s">
        <v>149</v>
      </c>
      <c r="B77" s="1" t="n">
        <v>60</v>
      </c>
      <c r="D77" s="18" t="s">
        <v>150</v>
      </c>
      <c r="E77" s="1" t="s">
        <v>15</v>
      </c>
      <c r="F77" s="8" t="n">
        <f aca="false">4.04/60</f>
        <v>0.0673333333333333</v>
      </c>
      <c r="G77" s="4"/>
      <c r="H77" s="4" t="n">
        <f aca="false">(F77*B77)+G77</f>
        <v>4.04</v>
      </c>
      <c r="I77" s="4" t="str">
        <f aca="false">IF(A77="","","|"&amp;A77&amp;"|"&amp;B77&amp;"|"&amp;C77&amp;"|"&amp;IF(D77="","","[link]("&amp;D77&amp;")")&amp;"|"&amp;IF(E77=" ","",IF(F77="","","[link]("&amp;E77&amp;")"))&amp;"|"&amp;IF(F77="","",ROUND(F77,2))&amp;"|"&amp;IF(G77="","",ROUND(G77,2))&amp;"|"&amp;IF(H77="","",ROUND(H77,2))&amp;"|")</f>
        <v>|M4 bolt 10mm|60||[link](https://nl.aliexpress.com/item/32810872544.html?spm=a2g0o.order_list.order_list_main.145.3f8379d22lLZlI&amp;gatewayAdapt=glo2nld)||0.07||4.04|</v>
      </c>
    </row>
    <row r="78" customFormat="false" ht="15.75" hidden="false" customHeight="false" outlineLevel="0" collapsed="false">
      <c r="A78" s="1" t="s">
        <v>151</v>
      </c>
      <c r="B78" s="1" t="n">
        <v>200</v>
      </c>
      <c r="E78" s="1" t="s">
        <v>15</v>
      </c>
      <c r="F78" s="8" t="n">
        <f aca="false">4.04/200</f>
        <v>0.0202</v>
      </c>
      <c r="G78" s="4"/>
      <c r="H78" s="4" t="n">
        <f aca="false">(F78*B78)+G78</f>
        <v>4.04</v>
      </c>
      <c r="I78" s="4" t="str">
        <f aca="false">IF(A78="","","|"&amp;A78&amp;"|"&amp;B78&amp;"|"&amp;C78&amp;"|"&amp;IF(D78="","","[link]("&amp;D78&amp;")")&amp;"|"&amp;IF(E78=" ","",IF(F78="","","[link]("&amp;E78&amp;")"))&amp;"|"&amp;IF(F78="","",ROUND(F78,2))&amp;"|"&amp;IF(G78="","",ROUND(G78,2))&amp;"|"&amp;IF(H78="","",ROUND(H78,2))&amp;"|")</f>
        <v>|M3 bolt 5mm|200||||0.02||4.04|</v>
      </c>
    </row>
    <row r="79" customFormat="false" ht="15.75" hidden="false" customHeight="false" outlineLevel="0" collapsed="false">
      <c r="A79" s="1" t="s">
        <v>152</v>
      </c>
      <c r="B79" s="1" t="n">
        <v>50</v>
      </c>
      <c r="D79" s="18" t="s">
        <v>153</v>
      </c>
      <c r="E79" s="1" t="s">
        <v>15</v>
      </c>
      <c r="F79" s="8" t="n">
        <f aca="false">2.15/50</f>
        <v>0.043</v>
      </c>
      <c r="G79" s="4"/>
      <c r="H79" s="4" t="n">
        <f aca="false">(F79*B79)+G79</f>
        <v>2.15</v>
      </c>
      <c r="I79" s="4" t="str">
        <f aca="false">IF(A79="","","|"&amp;A79&amp;"|"&amp;B79&amp;"|"&amp;C79&amp;"|"&amp;IF(D79="","","[link]("&amp;D79&amp;")")&amp;"|"&amp;IF(E79=" ","",IF(F79="","","[link]("&amp;E79&amp;")"))&amp;"|"&amp;IF(F79="","",ROUND(F79,2))&amp;"|"&amp;IF(G79="","",ROUND(G79,2))&amp;"|"&amp;IF(H79="","",ROUND(H79,2))&amp;"|")</f>
        <v>|Capacitor 47uF |50||[link](www.aliexpress.com/item/1005002047657907.html?spm=a2g0o.order_list.order_list_main.150.3f8379d22lLZlI)||0.04||2.15|</v>
      </c>
    </row>
    <row r="80" customFormat="false" ht="15.75" hidden="false" customHeight="false" outlineLevel="0" collapsed="false">
      <c r="A80" s="1" t="s">
        <v>154</v>
      </c>
      <c r="B80" s="1" t="n">
        <v>60</v>
      </c>
      <c r="D80" s="18" t="s">
        <v>155</v>
      </c>
      <c r="E80" s="1" t="s">
        <v>15</v>
      </c>
      <c r="F80" s="8" t="n">
        <f aca="false">1.51/60</f>
        <v>0.0251666666666667</v>
      </c>
      <c r="G80" s="4"/>
      <c r="H80" s="4" t="n">
        <f aca="false">(F80*B80)+G80</f>
        <v>1.51</v>
      </c>
      <c r="I80" s="4" t="str">
        <f aca="false">IF(A80="","","|"&amp;A80&amp;"|"&amp;B80&amp;"|"&amp;C80&amp;"|"&amp;IF(D80="","","[link]("&amp;D80&amp;")")&amp;"|"&amp;IF(E80=" ","",IF(F80="","","[link]("&amp;E80&amp;")"))&amp;"|"&amp;IF(F80="","",ROUND(F80,2))&amp;"|"&amp;IF(G80="","",ROUND(G80,2))&amp;"|"&amp;IF(H80="","",ROUND(H80,2))&amp;"|")</f>
        <v>|8 DIP header|60||[link](https://www.aliexpress.com/item/1005006995121970.html?spm=a2g0o.order_list.order_list_main.205.3f8379d22lLZlI)||0.03||1.51|</v>
      </c>
    </row>
    <row r="81" customFormat="false" ht="15.75" hidden="false" customHeight="false" outlineLevel="0" collapsed="false">
      <c r="A81" s="1" t="s">
        <v>156</v>
      </c>
      <c r="B81" s="1" t="n">
        <v>20</v>
      </c>
      <c r="D81" s="18" t="s">
        <v>157</v>
      </c>
      <c r="E81" s="1" t="s">
        <v>15</v>
      </c>
      <c r="F81" s="8" t="n">
        <f aca="false">2.36/20</f>
        <v>0.118</v>
      </c>
      <c r="G81" s="4"/>
      <c r="H81" s="4" t="n">
        <f aca="false">(F81*B81)+G81</f>
        <v>2.36</v>
      </c>
      <c r="I81" s="4" t="str">
        <f aca="false">IF(A81="","","|"&amp;A81&amp;"|"&amp;B81&amp;"|"&amp;C81&amp;"|"&amp;IF(D81="","","[link]("&amp;D81&amp;")")&amp;"|"&amp;IF(E81=" ","",IF(F81="","","[link]("&amp;E81&amp;")"))&amp;"|"&amp;IF(F81="","",ROUND(F81,2))&amp;"|"&amp;IF(G81="","",ROUND(G81,2))&amp;"|"&amp;IF(H81="","",ROUND(H81,2))&amp;"|")</f>
        <v>|Pin headeer|20||[link](https://nl.aliexpress.com/item/1005006149080284.html?spm=a2g0o.order_list.order_list_main.211.3f8379d22lLZlI&amp;gatewayAdapt=glo2nld)||0.12||2.36|</v>
      </c>
    </row>
    <row r="82" customFormat="false" ht="15.75" hidden="false" customHeight="false" outlineLevel="0" collapsed="false">
      <c r="A82" s="1" t="s">
        <v>158</v>
      </c>
      <c r="B82" s="1" t="n">
        <v>16</v>
      </c>
      <c r="D82" s="18" t="s">
        <v>159</v>
      </c>
      <c r="E82" s="1" t="s">
        <v>15</v>
      </c>
      <c r="F82" s="8" t="n">
        <f aca="false">36.64/15</f>
        <v>2.44266666666667</v>
      </c>
      <c r="G82" s="4"/>
      <c r="H82" s="4" t="n">
        <f aca="false">(F82*B82)+G82</f>
        <v>39.0826666666667</v>
      </c>
      <c r="I82" s="4" t="str">
        <f aca="false">IF(A82="","","|"&amp;A82&amp;"|"&amp;B82&amp;"|"&amp;C82&amp;"|"&amp;IF(D82="","","[link]("&amp;D82&amp;")")&amp;"|"&amp;IF(E82=" ","",IF(F82="","","[link]("&amp;E82&amp;")"))&amp;"|"&amp;IF(F82="","",ROUND(F82,2))&amp;"|"&amp;IF(G82="","",ROUND(G82,2))&amp;"|"&amp;IF(H82="","",ROUND(H82,2))&amp;"|")</f>
        <v>|Mini valves|16||[link](https://www.aliexpress.com/item/1005006358997795.html?spm=a2g0o.order_list.order_list_main.225.3f8379d22lLZlI)||2.44||39.08|</v>
      </c>
    </row>
    <row r="83" customFormat="false" ht="15.75" hidden="false" customHeight="false" outlineLevel="0" collapsed="false">
      <c r="A83" s="1" t="s">
        <v>160</v>
      </c>
      <c r="B83" s="1" t="n">
        <v>100</v>
      </c>
      <c r="D83" s="18" t="s">
        <v>161</v>
      </c>
      <c r="E83" s="1" t="s">
        <v>15</v>
      </c>
      <c r="F83" s="8" t="n">
        <f aca="false">2.03/100</f>
        <v>0.0203</v>
      </c>
      <c r="G83" s="4"/>
      <c r="H83" s="4" t="n">
        <f aca="false">(F83*B83)+G83</f>
        <v>2.03</v>
      </c>
      <c r="I83" s="4" t="str">
        <f aca="false">IF(A83="","","|"&amp;A83&amp;"|"&amp;B83&amp;"|"&amp;C83&amp;"|"&amp;IF(D83="","","[link]("&amp;D83&amp;")")&amp;"|"&amp;IF(E83=" ","",IF(F83="","","[link]("&amp;E83&amp;")"))&amp;"|"&amp;IF(F83="","",ROUND(F83,2))&amp;"|"&amp;IF(G83="","",ROUND(G83,2))&amp;"|"&amp;IF(H83="","",ROUND(H83,2))&amp;"|")</f>
        <v>|transistor AO3416|100||[link](https://www.aliexpress.com/item/1005005013827080.html?spm=a2g0o.order_list.order_list_main.271.3f8379d22lLZlI)||0.02||2.03|</v>
      </c>
    </row>
    <row r="84" customFormat="false" ht="15.75" hidden="false" customHeight="false" outlineLevel="0" collapsed="false">
      <c r="A84" s="1" t="s">
        <v>162</v>
      </c>
      <c r="B84" s="1" t="n">
        <v>100</v>
      </c>
      <c r="D84" s="18" t="s">
        <v>163</v>
      </c>
      <c r="E84" s="1" t="s">
        <v>15</v>
      </c>
      <c r="F84" s="8" t="n">
        <f aca="false">1.63/100</f>
        <v>0.0163</v>
      </c>
      <c r="G84" s="4"/>
      <c r="H84" s="4" t="n">
        <f aca="false">(F84*B84)+G84</f>
        <v>1.63</v>
      </c>
      <c r="I84" s="4" t="str">
        <f aca="false">IF(A84="","","|"&amp;A84&amp;"|"&amp;B84&amp;"|"&amp;C84&amp;"|"&amp;IF(D84="","","[link]("&amp;D84&amp;")")&amp;"|"&amp;IF(E84=" ","",IF(F84="","","[link]("&amp;E84&amp;")"))&amp;"|"&amp;IF(F84="","",ROUND(F84,2))&amp;"|"&amp;IF(G84="","",ROUND(G84,2))&amp;"|"&amp;IF(H84="","",ROUND(H84,2))&amp;"|")</f>
        <v>|Diode LL4148|100||[link](https://nl.aliexpress.com/item/1005002748966091.html?spm=a2g0o.order_list.order_list_main.280.3f8379d22lLZlI&amp;gatewayAdapt=glo2nld)||0.02||1.63|</v>
      </c>
    </row>
    <row r="85" customFormat="false" ht="15.75" hidden="false" customHeight="false" outlineLevel="0" collapsed="false">
      <c r="A85" s="1" t="s">
        <v>164</v>
      </c>
      <c r="B85" s="1" t="n">
        <v>20</v>
      </c>
      <c r="D85" s="18" t="s">
        <v>165</v>
      </c>
      <c r="E85" s="1" t="s">
        <v>15</v>
      </c>
      <c r="F85" s="8" t="n">
        <f aca="false">19.9/20</f>
        <v>0.995</v>
      </c>
      <c r="G85" s="4"/>
      <c r="H85" s="4" t="n">
        <f aca="false">(F85*B85)+G85</f>
        <v>19.9</v>
      </c>
      <c r="I85" s="4" t="str">
        <f aca="false">IF(A85="","","|"&amp;A85&amp;"|"&amp;B85&amp;"|"&amp;C85&amp;"|"&amp;IF(D85="","","[link]("&amp;D85&amp;")")&amp;"|"&amp;IF(E85=" ","",IF(F85="","","[link]("&amp;E85&amp;")"))&amp;"|"&amp;IF(F85="","",ROUND(F85,2))&amp;"|"&amp;IF(G85="","",ROUND(G85,2))&amp;"|"&amp;IF(H85="","",ROUND(H85,2))&amp;"|")</f>
        <v>|Rubber bottle end piece|20||[link](https://www.bol.com/nl/nl/p/kurk-zwart-pe-in-perfect-afsluitende-vorm-tbv-non-drips-of-maatschenkers-ten-behoeve-van-0-7-1-5-l-flessen/9200000107083693/)||1||19.9|</v>
      </c>
    </row>
    <row r="86" customFormat="false" ht="15.75" hidden="false" customHeight="false" outlineLevel="0" collapsed="false">
      <c r="A86" s="1" t="s">
        <v>166</v>
      </c>
      <c r="B86" s="1" t="n">
        <v>1</v>
      </c>
      <c r="E86" s="1" t="s">
        <v>15</v>
      </c>
      <c r="F86" s="8" t="n">
        <f aca="false">451.36/13</f>
        <v>34.72</v>
      </c>
      <c r="G86" s="4"/>
      <c r="H86" s="4" t="n">
        <f aca="false">(F86*B86)+G86</f>
        <v>34.72</v>
      </c>
      <c r="I86" s="4" t="str">
        <f aca="false">IF(A86="","","|"&amp;A86&amp;"|"&amp;B86&amp;"|"&amp;C86&amp;"|"&amp;IF(D86="","","[link]("&amp;D86&amp;")")&amp;"|"&amp;IF(E86=" ","",IF(F86="","","[link]("&amp;E86&amp;")"))&amp;"|"&amp;IF(F86="","",ROUND(F86,2))&amp;"|"&amp;IF(G86="","",ROUND(G86,2))&amp;"|"&amp;IF(H86="","",ROUND(H86,2))&amp;"|")</f>
        <v>|3D prints|1||||34.72||34.72|</v>
      </c>
    </row>
    <row r="87" customFormat="false" ht="15.75" hidden="false" customHeight="false" outlineLevel="0" collapsed="false">
      <c r="A87" s="1" t="s">
        <v>167</v>
      </c>
      <c r="B87" s="1" t="n">
        <v>13</v>
      </c>
      <c r="D87" s="1" t="s">
        <v>168</v>
      </c>
      <c r="E87" s="1" t="s">
        <v>15</v>
      </c>
      <c r="F87" s="8" t="n">
        <f aca="false">(451.36-G87)/13</f>
        <v>33.3469230769231</v>
      </c>
      <c r="G87" s="4" t="n">
        <v>17.85</v>
      </c>
      <c r="H87" s="4" t="n">
        <f aca="false">(F87*B87)+G87</f>
        <v>451.36</v>
      </c>
      <c r="I87" s="4" t="str">
        <f aca="false">IF(A87="","","|"&amp;A87&amp;"|"&amp;B87&amp;"|"&amp;C87&amp;"|"&amp;IF(D87="","","[link]("&amp;D87&amp;")")&amp;"|"&amp;IF(E87=" ","",IF(F87="","","[link]("&amp;E87&amp;")"))&amp;"|"&amp;IF(F87="","",ROUND(F87,2))&amp;"|"&amp;IF(G87="","",ROUND(G87,2))&amp;"|"&amp;IF(H87="","",ROUND(H87,2))&amp;"|")</f>
        <v>|Valve 46.008.116|13||[link](https://www.libertyshop.de/Magnetventile/A-u-K--Mueller/Blockventile----Vending/Serie-46-008-x16---Ventile/Mueller-Blockventil-1-fach-24-V-AC-46-008-116-Neue-Version.html)||33.35|17.85|451.36|</v>
      </c>
    </row>
    <row r="88" customFormat="false" ht="15.75" hidden="false" customHeight="false" outlineLevel="0" collapsed="false">
      <c r="E88" s="1" t="s">
        <v>15</v>
      </c>
      <c r="F88" s="8"/>
      <c r="G88" s="4"/>
      <c r="H88" s="4" t="n">
        <f aca="false">(F88*B88)+G88</f>
        <v>0</v>
      </c>
      <c r="I88" s="4"/>
    </row>
    <row r="89" customFormat="false" ht="15.75" hidden="false" customHeight="false" outlineLevel="0" collapsed="false">
      <c r="E89" s="1" t="s">
        <v>15</v>
      </c>
      <c r="F89" s="8"/>
      <c r="G89" s="4"/>
      <c r="H89" s="4" t="n">
        <f aca="false">(F89*B89)+G89</f>
        <v>0</v>
      </c>
      <c r="I89" s="4" t="str">
        <f aca="false">IF(A89="","","|"&amp;A89&amp;"|"&amp;B89&amp;"|"&amp;C89&amp;"|"&amp;IF(D89="","","[link]("&amp;D89&amp;")")&amp;"|"&amp;IF(E89=" ","",IF(F89="","","[link]("&amp;E89&amp;")"))&amp;"|"&amp;IF(F89="","",ROUND(F89,2))&amp;"|"&amp;IF(G89="","",ROUND(G89,2))&amp;"|"&amp;IF(H89="","",ROUND(H89,2))&amp;"|")</f>
        <v/>
      </c>
    </row>
    <row r="90" customFormat="false" ht="15.75" hidden="false" customHeight="false" outlineLevel="0" collapsed="false">
      <c r="E90" s="1" t="s">
        <v>15</v>
      </c>
      <c r="F90" s="8"/>
      <c r="G90" s="4"/>
      <c r="H90" s="4" t="n">
        <f aca="false">(F90*B90)+G90</f>
        <v>0</v>
      </c>
      <c r="I90" s="4" t="str">
        <f aca="false">IF(A90="","","|"&amp;A90&amp;"|"&amp;B90&amp;"|"&amp;C90&amp;"|"&amp;IF(D90="","","[link]("&amp;D90&amp;")")&amp;"|"&amp;IF(E90=" ","",IF(F90="","","[link]("&amp;E90&amp;")"))&amp;"|"&amp;IF(F90="","",ROUND(F90,2))&amp;"|"&amp;IF(G90="","",ROUND(G90,2))&amp;"|"&amp;IF(H90="","",ROUND(H90,2))&amp;"|")</f>
        <v/>
      </c>
    </row>
    <row r="91" customFormat="false" ht="15.75" hidden="false" customHeight="false" outlineLevel="0" collapsed="false">
      <c r="A91" s="16" t="s">
        <v>169</v>
      </c>
      <c r="B91" s="16"/>
      <c r="C91" s="16"/>
      <c r="D91" s="16"/>
      <c r="E91" s="16"/>
      <c r="F91" s="16"/>
      <c r="G91" s="16"/>
      <c r="H91" s="17" t="n">
        <f aca="false">SUM(H48:H90)</f>
        <v>2635.47641185682</v>
      </c>
      <c r="I91" s="4"/>
    </row>
    <row r="96" customFormat="false" ht="15.75" hidden="false" customHeight="true" outlineLevel="0" collapsed="false">
      <c r="G96" s="4"/>
    </row>
    <row r="1048576" customFormat="false" ht="12.8" hidden="false" customHeight="true" outlineLevel="0" collapsed="false"/>
  </sheetData>
  <mergeCells count="2">
    <mergeCell ref="A48:G48"/>
    <mergeCell ref="A91:G91"/>
  </mergeCells>
  <hyperlinks>
    <hyperlink ref="E3" r:id="rId1" display="https://youtu.be/AMiXme4bMUk"/>
    <hyperlink ref="D4" r:id="rId2" display="https://www.123-3d.nl/123-3D-GT2-Pulley-hoge-resolutie-met-lager-6-mm-riem-20-tanden-5-mm-as-zwart-i2546-t0.html"/>
    <hyperlink ref="D5" r:id="rId3" display="https://www.123-3d.nl/123-3D-GT2-Pulley-hoge-resolutie-6-mm-riem-20-tanden-5-mm-as-zwart-400211009-i2547-t0.html"/>
    <hyperlink ref="D6" r:id="rId4" display="https://www.123-3d.nl/123-3D-GT2-timing-belt-6-mm-5-meter-i6541-t3046.html"/>
    <hyperlink ref="D7" r:id="rId5" display="https://www.123-3d.nl/123-3D-Leadscrew-moer-TR8x8-i1560-t0.html"/>
    <hyperlink ref="D8" r:id="rId6" display="https://www.123-3d.nl/123-3D-Leadscrew-TR8x8-8-mm-30-cm-i1558-t0.html"/>
    <hyperlink ref="D9" r:id="rId7" display="https://www.123-3d.nl/123-3D-Staaf-as-glad-8-mm-x-100-cm-voor-X-of-Y-as-i56-t0.html"/>
    <hyperlink ref="D10" r:id="rId8" display="https://www.123-3d.nl/123-3D-Flexibele-motor-koppeling-5-mm-8-mm-i342-t0.html"/>
    <hyperlink ref="E11" r:id="rId9" display="https://www.thingiverse.com/thing:2393904"/>
    <hyperlink ref="D12" r:id="rId10" display="https://www.bol.com/nl/nl/p/white-rhinoceros-drank-dispenser-bar-butler-shots-muurdispenser-voor-6-flessen/9300000007705748/?Referrer=ENTcli_order_confirmation2008093611"/>
    <hyperlink ref="D13" r:id="rId11" display="https://www.ratrig.com/aluminium-profiles/vslot/v-slot-2020-637.html"/>
    <hyperlink ref="D14" r:id="rId12" display="https://nl.aliexpress.com/item/1005003618509458.html"/>
    <hyperlink ref="D16" r:id="rId13" display="https://elektronicavoorjou.nl/product/16x2-lcd-wit-op-blauw-5v-met-i2c/"/>
    <hyperlink ref="D17" r:id="rId14" display="https://www.indi.nl/nl-nl/p/Cilindrische-inbusbout-M3x10-12.9-zwart-DIN912-912310129B"/>
    <hyperlink ref="D18" r:id="rId15" display="https://www.indi.nl/nl-nl/p/Cilindrische-inbusbout-M3x30-12.9-zwart-DIN912-912330129B"/>
    <hyperlink ref="D19" r:id="rId16" display="https://www.indi.nl/nl-nl/p/Cilindrische-inbusbout-M5x10-12.9-zwart-DIN912-912510129B"/>
    <hyperlink ref="D20" r:id="rId17" display="https://www.indi.nl/nl-nl/p/Cilindrische-inbusbout-M5x20-12.9-zwart-DIN912-912520129B"/>
    <hyperlink ref="D21" r:id="rId18" display="https://www.indi.nl/nl-nl/p/Cilindrische-inbusbout-M5x30-12.9-zwart-DIN912-912530129B"/>
    <hyperlink ref="D22" r:id="rId19" display="https://www.indi.nl/nl-nl/p/Cilindrische-inbusbout-M5x40-12.9-zwart-DIN912-912540129B"/>
    <hyperlink ref="D23" r:id="rId20" display="https://www.indi.nl/nl-nl/p/Cilindrische-inbusbout-M5X50-12.9-zwart-DIN912-912550129B"/>
    <hyperlink ref="D24" r:id="rId21" display="https://www.indi.nl/nl-nl/p/Cilindrische-inbusbout-M5x60-12.9-zwart-DIN912-912560129B"/>
    <hyperlink ref="D25" r:id="rId22" display="https://www.indi.nl/nl-nl/p/Cilindrische-inbusbout-M5x80-12.9-zwart-DIN912-912580129B"/>
    <hyperlink ref="D26" r:id="rId23" display="https://www.indi.nl/nl-nl/p/Zeskantmoer-M5-klasse-8-verzinkt-DIN934-9345P100"/>
    <hyperlink ref="D27" r:id="rId24" display="https://www.gamma.nl/assortiment/gamma-borgmoer-m5-rvs-8-stuks/p/B458288"/>
    <hyperlink ref="D30" r:id="rId25" display="https://nl.aliexpress.com/item/1005004014058136.html"/>
    <hyperlink ref="E30" r:id="rId26" display="https://wiki.fysetc.com/TMC2208/"/>
    <hyperlink ref="D31" r:id="rId27" display="https://www.hobbyelectronica.nl/product/endstop-mechanisch-microswitch/"/>
    <hyperlink ref="D32" r:id="rId28" display="https://www.kiwi-electronics.com/nl/siliconen-slang-5x7mm-2-meter-10188"/>
    <hyperlink ref="D33" r:id="rId29" display="https://www.slangenshop.nl/home/22-siliconen-slang-2-x-4-mm-.html"/>
    <hyperlink ref="D34" r:id="rId30" display="https://www.slangenshop.nl/home/25-siliconen-slang-3-x-5-mm-.html"/>
    <hyperlink ref="D35" r:id="rId31" display="https://www.slangenshop.nl/home/24-siliconen-slang-4-x-6-mm-.html?search_query=Siliconen+slang+4&amp;results=24"/>
    <hyperlink ref="D36" r:id="rId32" display="https://www.aliexpress.com/item/1005004016711403.html?spm=a2g0o.cart.0.0.603638daNtRRN5&amp;mp=1"/>
    <hyperlink ref="D37" r:id="rId33" display="https://www.aliexpress.com/item/1005004016711403.html?spm=a2g0o.cart.0.0.603638daNtRRN5&amp;mp=1"/>
    <hyperlink ref="D38" r:id="rId34" display="https://www.aliexpress.com/item/32878178151.html?spm=a2g0o.cart.0.0.603638daNtRRN5&amp;mp=1"/>
    <hyperlink ref="D39" r:id="rId35" display="https://www.aliexpress.com/item/32878178151.html?spm=a2g0o.cart.0.0.603638daNtRRN5&amp;mp=1"/>
    <hyperlink ref="D40" r:id="rId36" display="https://www.aliexpress.com/item/1005005553905520.html?spm=a2g0o.cart.0.0.603638daNtRRN5&amp;mp=1"/>
    <hyperlink ref="D49" r:id="rId37" display="https://www.hobbyelectronica.nl/product/nema-17-stappen-motor-42byghw609/?gclid=CjwKCAjwzeqVBhAoEiwAOrEmzQjIdiWzwSG4m0PU8pULIl3Q7mAKpvSpVphw8W75q5Q6bFC5tXKSYxoC3OMQAvD_BwE"/>
    <hyperlink ref="D55" r:id="rId38" display="http://www.te.com/commerce/DocumentDelivery/DDEController?Action=srchrtrv&amp;DocNm=640454&amp;DocType=Customer+Drawing&amp;DocLang=English&amp;PartCntxt=640454-5"/>
    <hyperlink ref="D56" r:id="rId39" display="http://www.te.com/commerce/DocumentDelivery/DDEController?Action=srchrtrv&amp;DocNm=640454&amp;DocType=Customer+Drawing&amp;DocLang=English&amp;PartCntxt=640454-5"/>
    <hyperlink ref="D64" r:id="rId40" display="https://nl.farnell.com/recom-power/r-78b5-0-1-0l/dc-dc-converter-5v-1a/dp/1793162"/>
    <hyperlink ref="D70" r:id="rId41" display="https://nl.aliexpress.com/item/1005006311167114.html?spm=a2g0o.order_list.order_list_main.5.3f8379d22lLZlI&amp;gatewayAdapt=glo2nld"/>
    <hyperlink ref="D71" r:id="rId42" display="https://nl.aliexpress.com/item/1005006321995370.html?spm=a2g0o.order_list.order_list_main.17.3f8379d22lLZlI&amp;gatewayAdapt=glo2nld"/>
    <hyperlink ref="D72" r:id="rId43" display="www.aliexpress.com/item/1005006852412154.html?spm=a2g0o.order_list.order_list_main.33.3f8379d22lLZlI"/>
    <hyperlink ref="D73" r:id="rId44" display="https://nl.aliexpress.com/item/1005007446928015.html?spm=a2g0o.order_list.order_list_main.70.3f8379d22lLZlI&amp;gatewayAdapt=glo2nld"/>
    <hyperlink ref="D74" r:id="rId45" display="https://nl.aliexpress.com/item/1005006531774076.html?spm=a2g0o.order_list.order_list_main.81.3f8379d22lLZlI&amp;gatewayAdapt=glo2nld"/>
    <hyperlink ref="D75" r:id="rId46" display="https://nl.aliexpress.com/item/1005008478445571.html?spm=a2g0o.order_list.order_list_main.101.3f8379d22lLZlI&amp;gatewayAdapt=glo2nld"/>
    <hyperlink ref="D76" r:id="rId47" display="https://nl.aliexpress.com/item/32810872544.html?spm=a2g0o.order_list.order_list_main.140.3f8379d22lLZlI&amp;gatewayAdapt=glo2nld"/>
    <hyperlink ref="D77" r:id="rId48" display="https://nl.aliexpress.com/item/32810872544.html?spm=a2g0o.order_list.order_list_main.145.3f8379d22lLZlI&amp;gatewayAdapt=glo2nld"/>
    <hyperlink ref="D79" r:id="rId49" display="www.aliexpress.com/item/1005002047657907.html?spm=a2g0o.order_list.order_list_main.150.3f8379d22lLZlI"/>
    <hyperlink ref="D80" r:id="rId50" display="https://www.aliexpress.com/item/1005006995121970.html?spm=a2g0o.order_list.order_list_main.205.3f8379d22lLZlI"/>
    <hyperlink ref="D81" r:id="rId51" display="https://nl.aliexpress.com/item/1005006149080284.html?spm=a2g0o.order_list.order_list_main.211.3f8379d22lLZlI&amp;gatewayAdapt=glo2nld"/>
    <hyperlink ref="D82" r:id="rId52" display="https://www.aliexpress.com/item/1005006358997795.html?spm=a2g0o.order_list.order_list_main.225.3f8379d22lLZlI"/>
    <hyperlink ref="D83" r:id="rId53" display="https://www.aliexpress.com/item/1005005013827080.html?spm=a2g0o.order_list.order_list_main.271.3f8379d22lLZlI"/>
    <hyperlink ref="D84" r:id="rId54" display="https://nl.aliexpress.com/item/1005002748966091.html?spm=a2g0o.order_list.order_list_main.280.3f8379d22lLZlI&amp;gatewayAdapt=glo2nld"/>
    <hyperlink ref="D85" r:id="rId55" display="https://www.bol.com/nl/nl/p/kurk-zwart-pe-in-perfect-afsluitende-vorm-tbv-non-drips-of-maatschenkers-ten-behoeve-van-0-7-1-5-l-flessen/9200000107083693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3" min="1" style="19" width="12.63"/>
    <col collapsed="false" customWidth="true" hidden="false" outlineLevel="0" max="4" min="4" style="19" width="28.38"/>
    <col collapsed="false" customWidth="false" hidden="false" outlineLevel="0" max="16384" min="5" style="19" width="12.63"/>
  </cols>
  <sheetData>
    <row r="1" customFormat="false" ht="15.75" hidden="false" customHeight="false" outlineLevel="0" collapsed="false">
      <c r="A1" s="1" t="s">
        <v>170</v>
      </c>
      <c r="B1" s="1" t="s">
        <v>171</v>
      </c>
      <c r="C1" s="1" t="s">
        <v>172</v>
      </c>
      <c r="D1" s="1" t="s">
        <v>173</v>
      </c>
    </row>
    <row r="2" customFormat="false" ht="15.75" hidden="false" customHeight="false" outlineLevel="0" collapsed="false">
      <c r="A2" s="1" t="n">
        <v>0</v>
      </c>
      <c r="B2" s="1" t="s">
        <v>174</v>
      </c>
      <c r="C2" s="1" t="s">
        <v>175</v>
      </c>
      <c r="D2" s="1" t="s">
        <v>176</v>
      </c>
      <c r="E2" s="1" t="s">
        <v>177</v>
      </c>
      <c r="F2" s="1" t="s">
        <v>178</v>
      </c>
    </row>
    <row r="3" customFormat="false" ht="15.75" hidden="false" customHeight="false" outlineLevel="0" collapsed="false">
      <c r="A3" s="11" t="n">
        <v>1</v>
      </c>
      <c r="B3" s="11" t="s">
        <v>179</v>
      </c>
      <c r="C3" s="11" t="s">
        <v>175</v>
      </c>
      <c r="D3" s="11" t="s">
        <v>180</v>
      </c>
      <c r="E3" s="11" t="s">
        <v>181</v>
      </c>
    </row>
    <row r="4" customFormat="false" ht="15.75" hidden="false" customHeight="false" outlineLevel="0" collapsed="false">
      <c r="A4" s="11" t="n">
        <v>2</v>
      </c>
      <c r="B4" s="1" t="s">
        <v>175</v>
      </c>
      <c r="C4" s="1" t="s">
        <v>175</v>
      </c>
      <c r="D4" s="1" t="s">
        <v>182</v>
      </c>
      <c r="E4" s="11" t="s">
        <v>183</v>
      </c>
    </row>
    <row r="5" customFormat="false" ht="15.75" hidden="false" customHeight="false" outlineLevel="0" collapsed="false">
      <c r="A5" s="11" t="n">
        <v>3</v>
      </c>
      <c r="B5" s="11" t="s">
        <v>175</v>
      </c>
      <c r="C5" s="11" t="s">
        <v>184</v>
      </c>
      <c r="D5" s="11" t="s">
        <v>185</v>
      </c>
      <c r="E5" s="11" t="s">
        <v>186</v>
      </c>
    </row>
    <row r="6" customFormat="false" ht="15.75" hidden="false" customHeight="false" outlineLevel="0" collapsed="false">
      <c r="A6" s="11" t="n">
        <v>4</v>
      </c>
      <c r="B6" s="1" t="s">
        <v>175</v>
      </c>
      <c r="C6" s="1" t="s">
        <v>175</v>
      </c>
      <c r="E6" s="11" t="s">
        <v>187</v>
      </c>
    </row>
    <row r="7" customFormat="false" ht="15.75" hidden="false" customHeight="false" outlineLevel="0" collapsed="false">
      <c r="A7" s="11" t="n">
        <v>5</v>
      </c>
      <c r="B7" s="1" t="s">
        <v>175</v>
      </c>
      <c r="C7" s="1" t="s">
        <v>175</v>
      </c>
      <c r="D7" s="20" t="s">
        <v>176</v>
      </c>
      <c r="E7" s="20" t="s">
        <v>188</v>
      </c>
      <c r="F7" s="20" t="s">
        <v>189</v>
      </c>
    </row>
    <row r="8" customFormat="false" ht="15.75" hidden="false" customHeight="false" outlineLevel="0" collapsed="false">
      <c r="A8" s="11" t="n">
        <v>12</v>
      </c>
      <c r="B8" s="1" t="s">
        <v>175</v>
      </c>
      <c r="C8" s="1" t="s">
        <v>175</v>
      </c>
      <c r="D8" s="20" t="s">
        <v>190</v>
      </c>
      <c r="E8" s="20" t="s">
        <v>189</v>
      </c>
      <c r="F8" s="20" t="s">
        <v>188</v>
      </c>
    </row>
    <row r="9" customFormat="false" ht="15.75" hidden="false" customHeight="false" outlineLevel="0" collapsed="false">
      <c r="A9" s="11" t="n">
        <v>13</v>
      </c>
      <c r="B9" s="1" t="s">
        <v>175</v>
      </c>
      <c r="C9" s="1" t="s">
        <v>175</v>
      </c>
      <c r="E9" s="1" t="s">
        <v>191</v>
      </c>
    </row>
    <row r="10" customFormat="false" ht="15.75" hidden="false" customHeight="false" outlineLevel="0" collapsed="false">
      <c r="A10" s="11" t="n">
        <v>14</v>
      </c>
      <c r="B10" s="1" t="s">
        <v>175</v>
      </c>
      <c r="C10" s="1" t="s">
        <v>175</v>
      </c>
      <c r="D10" s="1" t="s">
        <v>176</v>
      </c>
      <c r="E10" s="1" t="s">
        <v>192</v>
      </c>
    </row>
    <row r="11" customFormat="false" ht="15.75" hidden="false" customHeight="false" outlineLevel="0" collapsed="false">
      <c r="A11" s="11" t="n">
        <v>15</v>
      </c>
      <c r="B11" s="1" t="s">
        <v>175</v>
      </c>
      <c r="C11" s="1" t="s">
        <v>175</v>
      </c>
      <c r="D11" s="20" t="s">
        <v>176</v>
      </c>
      <c r="E11" s="20" t="s">
        <v>193</v>
      </c>
      <c r="F11" s="20" t="s">
        <v>194</v>
      </c>
    </row>
    <row r="12" customFormat="false" ht="15.75" hidden="false" customHeight="false" outlineLevel="0" collapsed="false">
      <c r="A12" s="11" t="n">
        <v>16</v>
      </c>
      <c r="B12" s="1" t="s">
        <v>175</v>
      </c>
      <c r="C12" s="1" t="s">
        <v>175</v>
      </c>
      <c r="E12" s="11" t="s">
        <v>195</v>
      </c>
    </row>
    <row r="13" customFormat="false" ht="15.75" hidden="false" customHeight="false" outlineLevel="0" collapsed="false">
      <c r="A13" s="11" t="n">
        <v>17</v>
      </c>
      <c r="B13" s="1" t="s">
        <v>175</v>
      </c>
      <c r="C13" s="1" t="s">
        <v>175</v>
      </c>
      <c r="E13" s="11" t="s">
        <v>196</v>
      </c>
    </row>
    <row r="14" customFormat="false" ht="15.75" hidden="false" customHeight="false" outlineLevel="0" collapsed="false">
      <c r="A14" s="11" t="n">
        <v>18</v>
      </c>
      <c r="B14" s="1" t="s">
        <v>175</v>
      </c>
      <c r="C14" s="1" t="s">
        <v>175</v>
      </c>
      <c r="E14" s="11" t="s">
        <v>197</v>
      </c>
    </row>
    <row r="15" customFormat="false" ht="15.75" hidden="false" customHeight="false" outlineLevel="0" collapsed="false">
      <c r="A15" s="11" t="n">
        <v>19</v>
      </c>
      <c r="B15" s="1" t="s">
        <v>175</v>
      </c>
      <c r="C15" s="1" t="s">
        <v>175</v>
      </c>
      <c r="E15" s="11" t="s">
        <v>198</v>
      </c>
    </row>
    <row r="16" customFormat="false" ht="15.75" hidden="false" customHeight="false" outlineLevel="0" collapsed="false">
      <c r="A16" s="11" t="n">
        <v>21</v>
      </c>
      <c r="B16" s="11" t="s">
        <v>175</v>
      </c>
      <c r="C16" s="11" t="s">
        <v>175</v>
      </c>
      <c r="D16" s="11"/>
      <c r="E16" s="11" t="s">
        <v>199</v>
      </c>
    </row>
    <row r="17" customFormat="false" ht="15.75" hidden="false" customHeight="false" outlineLevel="0" collapsed="false">
      <c r="A17" s="11" t="n">
        <v>22</v>
      </c>
      <c r="B17" s="11" t="s">
        <v>175</v>
      </c>
      <c r="C17" s="11" t="s">
        <v>175</v>
      </c>
      <c r="D17" s="11"/>
      <c r="E17" s="11" t="s">
        <v>200</v>
      </c>
    </row>
    <row r="18" customFormat="false" ht="15.75" hidden="false" customHeight="false" outlineLevel="0" collapsed="false">
      <c r="A18" s="11" t="n">
        <v>23</v>
      </c>
      <c r="B18" s="1" t="s">
        <v>175</v>
      </c>
      <c r="C18" s="1" t="s">
        <v>175</v>
      </c>
      <c r="E18" s="20" t="s">
        <v>194</v>
      </c>
    </row>
    <row r="19" customFormat="false" ht="15.75" hidden="false" customHeight="false" outlineLevel="0" collapsed="false">
      <c r="A19" s="11" t="n">
        <v>25</v>
      </c>
      <c r="B19" s="1" t="s">
        <v>175</v>
      </c>
      <c r="C19" s="1" t="s">
        <v>175</v>
      </c>
      <c r="E19" s="1" t="s">
        <v>201</v>
      </c>
    </row>
    <row r="20" customFormat="false" ht="15.75" hidden="false" customHeight="false" outlineLevel="0" collapsed="false">
      <c r="A20" s="11" t="n">
        <v>26</v>
      </c>
      <c r="B20" s="1" t="s">
        <v>175</v>
      </c>
      <c r="C20" s="1" t="s">
        <v>175</v>
      </c>
      <c r="E20" s="1" t="s">
        <v>202</v>
      </c>
    </row>
    <row r="21" customFormat="false" ht="15.75" hidden="false" customHeight="false" outlineLevel="0" collapsed="false">
      <c r="A21" s="11" t="n">
        <v>27</v>
      </c>
      <c r="B21" s="1" t="s">
        <v>175</v>
      </c>
      <c r="C21" s="1" t="s">
        <v>175</v>
      </c>
      <c r="E21" s="20" t="s">
        <v>203</v>
      </c>
      <c r="F21" s="20" t="s">
        <v>204</v>
      </c>
    </row>
    <row r="22" customFormat="false" ht="15.75" hidden="false" customHeight="false" outlineLevel="0" collapsed="false">
      <c r="A22" s="11" t="n">
        <v>32</v>
      </c>
      <c r="B22" s="1" t="s">
        <v>175</v>
      </c>
      <c r="C22" s="1" t="s">
        <v>175</v>
      </c>
      <c r="E22" s="1" t="s">
        <v>205</v>
      </c>
    </row>
    <row r="23" customFormat="false" ht="15.75" hidden="false" customHeight="false" outlineLevel="0" collapsed="false">
      <c r="A23" s="11" t="n">
        <v>33</v>
      </c>
      <c r="B23" s="1" t="s">
        <v>175</v>
      </c>
      <c r="C23" s="1" t="s">
        <v>175</v>
      </c>
      <c r="E23" s="1" t="s">
        <v>206</v>
      </c>
    </row>
    <row r="24" customFormat="false" ht="15.75" hidden="false" customHeight="false" outlineLevel="0" collapsed="false">
      <c r="A24" s="11" t="n">
        <v>34</v>
      </c>
      <c r="B24" s="1" t="s">
        <v>175</v>
      </c>
      <c r="D24" s="20" t="s">
        <v>207</v>
      </c>
      <c r="E24" s="20" t="s">
        <v>204</v>
      </c>
      <c r="F24" s="1" t="s">
        <v>203</v>
      </c>
    </row>
    <row r="25" customFormat="false" ht="15.75" hidden="false" customHeight="false" outlineLevel="0" collapsed="false">
      <c r="A25" s="11" t="n">
        <v>35</v>
      </c>
      <c r="B25" s="1" t="s">
        <v>175</v>
      </c>
      <c r="D25" s="20" t="s">
        <v>207</v>
      </c>
      <c r="E25" s="20"/>
      <c r="F25" s="20" t="s">
        <v>193</v>
      </c>
    </row>
    <row r="26" customFormat="false" ht="15.75" hidden="false" customHeight="false" outlineLevel="0" collapsed="false">
      <c r="A26" s="11" t="n">
        <v>36</v>
      </c>
      <c r="B26" s="1" t="s">
        <v>175</v>
      </c>
      <c r="D26" s="1" t="s">
        <v>207</v>
      </c>
    </row>
    <row r="27" customFormat="false" ht="15.75" hidden="false" customHeight="false" outlineLevel="0" collapsed="false">
      <c r="A27" s="11" t="n">
        <v>39</v>
      </c>
      <c r="B27" s="1" t="s">
        <v>175</v>
      </c>
      <c r="D27" s="1" t="s">
        <v>207</v>
      </c>
      <c r="E27" s="1" t="s">
        <v>208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0" activeCellId="0" sqref="F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9" width="17.88"/>
    <col collapsed="false" customWidth="true" hidden="true" outlineLevel="0" max="2" min="2" style="19" width="7.11"/>
    <col collapsed="false" customWidth="true" hidden="false" outlineLevel="0" max="3" min="3" style="19" width="12"/>
    <col collapsed="false" customWidth="true" hidden="false" outlineLevel="0" max="4" min="4" style="19" width="3.75"/>
    <col collapsed="false" customWidth="true" hidden="false" outlineLevel="0" max="5" min="5" style="19" width="12"/>
    <col collapsed="false" customWidth="true" hidden="false" outlineLevel="0" max="6" min="6" style="19" width="3.75"/>
    <col collapsed="false" customWidth="true" hidden="false" outlineLevel="0" max="7" min="7" style="19" width="12"/>
    <col collapsed="false" customWidth="true" hidden="false" outlineLevel="0" max="8" min="8" style="19" width="3.75"/>
    <col collapsed="false" customWidth="true" hidden="false" outlineLevel="0" max="9" min="9" style="19" width="12"/>
    <col collapsed="false" customWidth="true" hidden="false" outlineLevel="0" max="10" min="10" style="19" width="3.75"/>
    <col collapsed="false" customWidth="true" hidden="false" outlineLevel="0" max="11" min="11" style="19" width="12"/>
    <col collapsed="false" customWidth="true" hidden="false" outlineLevel="0" max="12" min="12" style="19" width="3.75"/>
    <col collapsed="false" customWidth="true" hidden="false" outlineLevel="0" max="13" min="13" style="19" width="12"/>
    <col collapsed="false" customWidth="true" hidden="false" outlineLevel="0" max="14" min="14" style="19" width="3.13"/>
    <col collapsed="false" customWidth="true" hidden="false" outlineLevel="0" max="15" min="15" style="19" width="12"/>
    <col collapsed="false" customWidth="true" hidden="false" outlineLevel="0" max="16" min="16" style="19" width="3.13"/>
    <col collapsed="false" customWidth="true" hidden="false" outlineLevel="0" max="17" min="17" style="19" width="12"/>
    <col collapsed="false" customWidth="true" hidden="false" outlineLevel="0" max="18" min="18" style="19" width="3.13"/>
    <col collapsed="false" customWidth="true" hidden="false" outlineLevel="0" max="19" min="19" style="19" width="2.63"/>
    <col collapsed="false" customWidth="true" hidden="false" outlineLevel="0" max="20" min="20" style="19" width="5"/>
    <col collapsed="false" customWidth="true" hidden="false" outlineLevel="0" max="21" min="21" style="19" width="6.88"/>
    <col collapsed="false" customWidth="false" hidden="false" outlineLevel="0" max="16384" min="22" style="19" width="12.63"/>
  </cols>
  <sheetData>
    <row r="1" customFormat="false" ht="24.05" hidden="false" customHeight="false" outlineLevel="0" collapsed="false">
      <c r="A1" s="21" t="s">
        <v>209</v>
      </c>
      <c r="B1" s="22" t="s">
        <v>210</v>
      </c>
      <c r="C1" s="21" t="s">
        <v>211</v>
      </c>
      <c r="D1" s="21" t="s">
        <v>212</v>
      </c>
      <c r="E1" s="21" t="s">
        <v>213</v>
      </c>
      <c r="F1" s="21" t="s">
        <v>212</v>
      </c>
      <c r="G1" s="21" t="s">
        <v>214</v>
      </c>
      <c r="H1" s="21" t="s">
        <v>212</v>
      </c>
      <c r="I1" s="21" t="s">
        <v>215</v>
      </c>
      <c r="J1" s="21" t="s">
        <v>212</v>
      </c>
      <c r="K1" s="21" t="s">
        <v>216</v>
      </c>
      <c r="L1" s="21" t="s">
        <v>212</v>
      </c>
      <c r="M1" s="21" t="s">
        <v>217</v>
      </c>
      <c r="N1" s="21" t="s">
        <v>212</v>
      </c>
      <c r="O1" s="21" t="s">
        <v>218</v>
      </c>
      <c r="P1" s="21" t="s">
        <v>212</v>
      </c>
      <c r="Q1" s="21" t="s">
        <v>219</v>
      </c>
      <c r="R1" s="21" t="s">
        <v>212</v>
      </c>
      <c r="S1" s="23"/>
      <c r="T1" s="21" t="s">
        <v>220</v>
      </c>
      <c r="U1" s="21" t="s">
        <v>221</v>
      </c>
    </row>
    <row r="2" customFormat="false" ht="15" hidden="false" customHeight="true" outlineLevel="0" collapsed="false">
      <c r="A2" s="19" t="s">
        <v>222</v>
      </c>
      <c r="B2" s="24" t="s">
        <v>223</v>
      </c>
      <c r="C2" s="19" t="s">
        <v>224</v>
      </c>
      <c r="D2" s="25" t="n">
        <v>0</v>
      </c>
      <c r="E2" s="19" t="s">
        <v>225</v>
      </c>
      <c r="F2" s="25" t="n">
        <v>45</v>
      </c>
      <c r="G2" s="19" t="s">
        <v>226</v>
      </c>
      <c r="H2" s="25" t="n">
        <v>45</v>
      </c>
      <c r="I2" s="19" t="s">
        <v>227</v>
      </c>
      <c r="J2" s="25" t="n">
        <v>135</v>
      </c>
      <c r="K2" s="19" t="s">
        <v>228</v>
      </c>
      <c r="L2" s="25" t="n">
        <v>0</v>
      </c>
      <c r="M2" s="19" t="s">
        <v>229</v>
      </c>
      <c r="N2" s="25" t="n">
        <v>30</v>
      </c>
      <c r="S2" s="26"/>
      <c r="T2" s="19" t="n">
        <f aca="false">D2+F2+H2+J2+L2+N2+P2+R2</f>
        <v>255</v>
      </c>
      <c r="U2" s="19" t="s">
        <v>230</v>
      </c>
    </row>
    <row r="3" customFormat="false" ht="15" hidden="false" customHeight="true" outlineLevel="0" collapsed="false">
      <c r="A3" s="19" t="s">
        <v>231</v>
      </c>
      <c r="B3" s="24" t="s">
        <v>232</v>
      </c>
      <c r="C3" s="19" t="s">
        <v>225</v>
      </c>
      <c r="D3" s="25" t="n">
        <v>45</v>
      </c>
      <c r="E3" s="19" t="s">
        <v>233</v>
      </c>
      <c r="F3" s="25" t="n">
        <v>120</v>
      </c>
      <c r="G3" s="19" t="s">
        <v>234</v>
      </c>
      <c r="H3" s="25" t="n">
        <v>0</v>
      </c>
      <c r="S3" s="26"/>
      <c r="T3" s="19" t="n">
        <f aca="false">D3+F3+H3+J3+L3+N3+P3+R3</f>
        <v>165</v>
      </c>
      <c r="U3" s="19" t="s">
        <v>235</v>
      </c>
    </row>
    <row r="4" customFormat="false" ht="15" hidden="false" customHeight="true" outlineLevel="0" collapsed="false">
      <c r="A4" s="19" t="s">
        <v>236</v>
      </c>
      <c r="B4" s="24" t="s">
        <v>237</v>
      </c>
      <c r="C4" s="19" t="s">
        <v>225</v>
      </c>
      <c r="D4" s="25" t="n">
        <v>23</v>
      </c>
      <c r="E4" s="19" t="s">
        <v>238</v>
      </c>
      <c r="F4" s="25" t="n">
        <v>15</v>
      </c>
      <c r="G4" s="19" t="s">
        <v>229</v>
      </c>
      <c r="H4" s="25" t="n">
        <v>30</v>
      </c>
      <c r="I4" s="19" t="s">
        <v>239</v>
      </c>
      <c r="J4" s="25" t="n">
        <v>15</v>
      </c>
      <c r="K4" s="19" t="s">
        <v>228</v>
      </c>
      <c r="L4" s="25" t="n">
        <v>0</v>
      </c>
      <c r="S4" s="26"/>
      <c r="T4" s="19" t="n">
        <f aca="false">D4+F4+H4+J4+L4+N4+P4+R4</f>
        <v>83</v>
      </c>
      <c r="U4" s="19" t="s">
        <v>240</v>
      </c>
    </row>
    <row r="5" customFormat="false" ht="15" hidden="false" customHeight="true" outlineLevel="0" collapsed="false">
      <c r="A5" s="19" t="s">
        <v>241</v>
      </c>
      <c r="B5" s="24" t="s">
        <v>242</v>
      </c>
      <c r="C5" s="19" t="s">
        <v>225</v>
      </c>
      <c r="D5" s="25" t="n">
        <v>45</v>
      </c>
      <c r="E5" s="19" t="s">
        <v>243</v>
      </c>
      <c r="F5" s="25" t="n">
        <v>30</v>
      </c>
      <c r="G5" s="19" t="s">
        <v>229</v>
      </c>
      <c r="H5" s="25" t="n">
        <v>30</v>
      </c>
      <c r="I5" s="19" t="s">
        <v>234</v>
      </c>
      <c r="J5" s="25" t="n">
        <v>0</v>
      </c>
      <c r="S5" s="26"/>
      <c r="T5" s="19" t="n">
        <f aca="false">D5+F5+H5+J5+L5+N5+P5+R5</f>
        <v>105</v>
      </c>
      <c r="U5" s="19" t="s">
        <v>240</v>
      </c>
    </row>
    <row r="6" customFormat="false" ht="15" hidden="false" customHeight="true" outlineLevel="0" collapsed="false">
      <c r="A6" s="19" t="s">
        <v>244</v>
      </c>
      <c r="B6" s="24" t="s">
        <v>245</v>
      </c>
      <c r="C6" s="19" t="s">
        <v>224</v>
      </c>
      <c r="D6" s="25" t="n">
        <v>0</v>
      </c>
      <c r="E6" s="19" t="s">
        <v>225</v>
      </c>
      <c r="F6" s="25" t="n">
        <v>45</v>
      </c>
      <c r="G6" s="19" t="s">
        <v>229</v>
      </c>
      <c r="H6" s="25" t="n">
        <v>90</v>
      </c>
      <c r="I6" s="19" t="s">
        <v>234</v>
      </c>
      <c r="J6" s="25" t="n">
        <v>0</v>
      </c>
      <c r="K6" s="19" t="s">
        <v>227</v>
      </c>
      <c r="L6" s="25" t="n">
        <v>30</v>
      </c>
      <c r="S6" s="26"/>
      <c r="T6" s="19" t="n">
        <f aca="false">D6+F6+H6+J6+L6+N6+P6+R6</f>
        <v>165</v>
      </c>
      <c r="U6" s="19" t="s">
        <v>235</v>
      </c>
    </row>
    <row r="7" customFormat="false" ht="15" hidden="false" customHeight="true" outlineLevel="0" collapsed="false">
      <c r="A7" s="19" t="s">
        <v>246</v>
      </c>
      <c r="B7" s="24" t="s">
        <v>247</v>
      </c>
      <c r="C7" s="19" t="s">
        <v>248</v>
      </c>
      <c r="D7" s="25" t="n">
        <v>0</v>
      </c>
      <c r="E7" s="19" t="s">
        <v>249</v>
      </c>
      <c r="F7" s="25" t="n">
        <v>90</v>
      </c>
      <c r="G7" s="19" t="s">
        <v>239</v>
      </c>
      <c r="H7" s="25" t="n">
        <v>30</v>
      </c>
      <c r="I7" s="19" t="s">
        <v>228</v>
      </c>
      <c r="J7" s="25" t="n">
        <v>0</v>
      </c>
      <c r="S7" s="26"/>
      <c r="T7" s="19" t="n">
        <f aca="false">D7+F7+H7+J7+L7+N7+P7+R7</f>
        <v>120</v>
      </c>
      <c r="U7" s="19" t="s">
        <v>235</v>
      </c>
    </row>
    <row r="8" customFormat="false" ht="15" hidden="false" customHeight="true" outlineLevel="0" collapsed="false">
      <c r="A8" s="19" t="s">
        <v>250</v>
      </c>
      <c r="B8" s="24" t="s">
        <v>251</v>
      </c>
      <c r="C8" s="19" t="s">
        <v>225</v>
      </c>
      <c r="D8" s="25" t="n">
        <v>30</v>
      </c>
      <c r="E8" s="19" t="s">
        <v>229</v>
      </c>
      <c r="F8" s="25" t="n">
        <v>30</v>
      </c>
      <c r="G8" s="19" t="s">
        <v>252</v>
      </c>
      <c r="H8" s="25" t="n">
        <v>30</v>
      </c>
      <c r="I8" s="19" t="s">
        <v>234</v>
      </c>
      <c r="J8" s="25" t="n">
        <v>0</v>
      </c>
      <c r="S8" s="26"/>
      <c r="T8" s="19" t="n">
        <f aca="false">D8+F8+H8+J8+L8+N8+P8+R8</f>
        <v>90</v>
      </c>
      <c r="U8" s="19" t="s">
        <v>240</v>
      </c>
    </row>
    <row r="9" customFormat="false" ht="15" hidden="false" customHeight="true" outlineLevel="0" collapsed="false">
      <c r="A9" s="19" t="s">
        <v>253</v>
      </c>
      <c r="B9" s="24" t="s">
        <v>254</v>
      </c>
      <c r="C9" s="19" t="s">
        <v>248</v>
      </c>
      <c r="D9" s="25" t="n">
        <v>0</v>
      </c>
      <c r="E9" s="19" t="s">
        <v>249</v>
      </c>
      <c r="F9" s="25" t="n">
        <v>60</v>
      </c>
      <c r="G9" s="19" t="s">
        <v>255</v>
      </c>
      <c r="H9" s="25" t="n">
        <v>30</v>
      </c>
      <c r="I9" s="19" t="s">
        <v>256</v>
      </c>
      <c r="J9" s="25" t="n">
        <v>30</v>
      </c>
      <c r="K9" s="19" t="s">
        <v>228</v>
      </c>
      <c r="L9" s="25" t="n">
        <v>0</v>
      </c>
      <c r="S9" s="26"/>
      <c r="T9" s="19" t="n">
        <f aca="false">D9+F9+H9+J9+L9+N9+P9+R9</f>
        <v>120</v>
      </c>
      <c r="U9" s="19" t="s">
        <v>235</v>
      </c>
    </row>
    <row r="10" customFormat="false" ht="15" hidden="false" customHeight="true" outlineLevel="0" collapsed="false">
      <c r="A10" s="19" t="s">
        <v>257</v>
      </c>
      <c r="B10" s="24" t="s">
        <v>258</v>
      </c>
      <c r="C10" s="19" t="s">
        <v>248</v>
      </c>
      <c r="D10" s="25" t="n">
        <v>0</v>
      </c>
      <c r="E10" s="19" t="s">
        <v>249</v>
      </c>
      <c r="F10" s="25" t="n">
        <v>60</v>
      </c>
      <c r="G10" s="19" t="s">
        <v>259</v>
      </c>
      <c r="H10" s="25" t="n">
        <v>45</v>
      </c>
      <c r="I10" s="19" t="s">
        <v>255</v>
      </c>
      <c r="J10" s="25" t="n">
        <v>30</v>
      </c>
      <c r="K10" s="19" t="s">
        <v>256</v>
      </c>
      <c r="L10" s="25" t="n">
        <v>30</v>
      </c>
      <c r="M10" s="19" t="s">
        <v>228</v>
      </c>
      <c r="N10" s="25" t="n">
        <v>0</v>
      </c>
      <c r="S10" s="26"/>
      <c r="T10" s="19" t="n">
        <f aca="false">D10+F10+H10+J10+L10+N10+P10+R10</f>
        <v>165</v>
      </c>
      <c r="U10" s="19" t="s">
        <v>235</v>
      </c>
    </row>
    <row r="11" customFormat="false" ht="15" hidden="false" customHeight="true" outlineLevel="0" collapsed="false">
      <c r="A11" s="19" t="s">
        <v>260</v>
      </c>
      <c r="B11" s="24" t="s">
        <v>261</v>
      </c>
      <c r="C11" s="19" t="s">
        <v>249</v>
      </c>
      <c r="D11" s="25" t="n">
        <v>45</v>
      </c>
      <c r="E11" s="19" t="s">
        <v>233</v>
      </c>
      <c r="F11" s="25" t="n">
        <v>30</v>
      </c>
      <c r="G11" s="19" t="s">
        <v>243</v>
      </c>
      <c r="H11" s="25" t="n">
        <v>30</v>
      </c>
      <c r="I11" s="19" t="s">
        <v>234</v>
      </c>
      <c r="J11" s="25" t="n">
        <v>0</v>
      </c>
      <c r="S11" s="26"/>
      <c r="T11" s="19" t="n">
        <f aca="false">D11+F11+H11+J11+L11+N11+P11+R11</f>
        <v>105</v>
      </c>
      <c r="U11" s="19" t="s">
        <v>240</v>
      </c>
    </row>
    <row r="12" customFormat="false" ht="15" hidden="false" customHeight="true" outlineLevel="0" collapsed="false">
      <c r="A12" s="19" t="s">
        <v>262</v>
      </c>
      <c r="B12" s="24" t="s">
        <v>263</v>
      </c>
      <c r="C12" s="19" t="s">
        <v>249</v>
      </c>
      <c r="D12" s="25" t="n">
        <v>60</v>
      </c>
      <c r="E12" s="19" t="s">
        <v>238</v>
      </c>
      <c r="F12" s="25" t="n">
        <v>15</v>
      </c>
      <c r="G12" s="19" t="s">
        <v>243</v>
      </c>
      <c r="H12" s="25" t="n">
        <v>15</v>
      </c>
      <c r="I12" s="19" t="s">
        <v>228</v>
      </c>
      <c r="J12" s="25" t="n">
        <v>0</v>
      </c>
      <c r="S12" s="26"/>
      <c r="T12" s="19" t="n">
        <f aca="false">D12+F12+H12+J12+L12+N12+P12+R12</f>
        <v>90</v>
      </c>
      <c r="U12" s="19" t="s">
        <v>240</v>
      </c>
    </row>
    <row r="13" customFormat="false" ht="15" hidden="false" customHeight="true" outlineLevel="0" collapsed="false">
      <c r="A13" s="19" t="s">
        <v>264</v>
      </c>
      <c r="B13" s="24" t="s">
        <v>265</v>
      </c>
      <c r="C13" s="19" t="s">
        <v>224</v>
      </c>
      <c r="D13" s="25" t="n">
        <v>0</v>
      </c>
      <c r="E13" s="19" t="s">
        <v>225</v>
      </c>
      <c r="F13" s="25" t="n">
        <v>30</v>
      </c>
      <c r="G13" s="19" t="s">
        <v>249</v>
      </c>
      <c r="H13" s="25" t="n">
        <v>30</v>
      </c>
      <c r="I13" s="19" t="s">
        <v>266</v>
      </c>
      <c r="J13" s="25" t="n">
        <v>30</v>
      </c>
      <c r="K13" s="19" t="s">
        <v>252</v>
      </c>
      <c r="L13" s="25" t="n">
        <v>60</v>
      </c>
      <c r="M13" s="19" t="s">
        <v>229</v>
      </c>
      <c r="N13" s="25" t="n">
        <v>60</v>
      </c>
      <c r="O13" s="19" t="s">
        <v>267</v>
      </c>
      <c r="P13" s="25" t="n">
        <v>0</v>
      </c>
      <c r="S13" s="26"/>
      <c r="T13" s="19" t="n">
        <f aca="false">D13+F13+H13+J13+L13+N13+P13+R13</f>
        <v>210</v>
      </c>
      <c r="U13" s="19" t="s">
        <v>230</v>
      </c>
    </row>
    <row r="14" customFormat="false" ht="15" hidden="false" customHeight="true" outlineLevel="0" collapsed="false">
      <c r="A14" s="19" t="s">
        <v>268</v>
      </c>
      <c r="B14" s="24" t="s">
        <v>269</v>
      </c>
      <c r="C14" s="19" t="s">
        <v>248</v>
      </c>
      <c r="D14" s="25" t="n">
        <v>0</v>
      </c>
      <c r="E14" s="19" t="s">
        <v>249</v>
      </c>
      <c r="F14" s="25" t="n">
        <v>60</v>
      </c>
      <c r="G14" s="19" t="s">
        <v>233</v>
      </c>
      <c r="H14" s="25" t="n">
        <v>30</v>
      </c>
      <c r="I14" s="19" t="s">
        <v>255</v>
      </c>
      <c r="J14" s="25" t="n">
        <v>5</v>
      </c>
      <c r="K14" s="19" t="s">
        <v>234</v>
      </c>
      <c r="L14" s="25" t="n">
        <v>0</v>
      </c>
      <c r="M14" s="19" t="s">
        <v>270</v>
      </c>
      <c r="N14" s="25" t="n">
        <v>0</v>
      </c>
      <c r="S14" s="26"/>
      <c r="T14" s="19" t="n">
        <f aca="false">D14+F14+H14+J14+L14+N14+P14+R14</f>
        <v>95</v>
      </c>
      <c r="U14" s="19" t="s">
        <v>240</v>
      </c>
    </row>
    <row r="15" customFormat="false" ht="15" hidden="false" customHeight="true" outlineLevel="0" collapsed="false">
      <c r="A15" s="19" t="s">
        <v>271</v>
      </c>
      <c r="B15" s="24" t="s">
        <v>272</v>
      </c>
      <c r="C15" s="19" t="s">
        <v>248</v>
      </c>
      <c r="D15" s="25" t="n">
        <v>0</v>
      </c>
      <c r="E15" s="19" t="s">
        <v>249</v>
      </c>
      <c r="F15" s="25" t="n">
        <v>60</v>
      </c>
      <c r="G15" s="19" t="s">
        <v>259</v>
      </c>
      <c r="H15" s="25" t="n">
        <v>60</v>
      </c>
      <c r="I15" s="19" t="s">
        <v>256</v>
      </c>
      <c r="J15" s="25" t="n">
        <v>30</v>
      </c>
      <c r="K15" s="19" t="s">
        <v>229</v>
      </c>
      <c r="L15" s="25" t="n">
        <v>10</v>
      </c>
      <c r="M15" s="19" t="s">
        <v>228</v>
      </c>
      <c r="N15" s="25" t="n">
        <v>0</v>
      </c>
      <c r="O15" s="19" t="s">
        <v>270</v>
      </c>
      <c r="P15" s="25" t="n">
        <v>0</v>
      </c>
      <c r="S15" s="26"/>
      <c r="T15" s="19" t="n">
        <f aca="false">D15+F15+H15+J15+L15+N15+P15+R15</f>
        <v>160</v>
      </c>
      <c r="U15" s="19" t="s">
        <v>235</v>
      </c>
    </row>
    <row r="16" customFormat="false" ht="15" hidden="false" customHeight="true" outlineLevel="0" collapsed="false">
      <c r="A16" s="19" t="s">
        <v>273</v>
      </c>
      <c r="B16" s="24" t="s">
        <v>274</v>
      </c>
      <c r="C16" s="19" t="s">
        <v>225</v>
      </c>
      <c r="D16" s="25" t="n">
        <v>60</v>
      </c>
      <c r="E16" s="19" t="s">
        <v>243</v>
      </c>
      <c r="F16" s="25" t="n">
        <v>10</v>
      </c>
      <c r="G16" s="19" t="s">
        <v>249</v>
      </c>
      <c r="H16" s="25" t="n">
        <v>60</v>
      </c>
      <c r="I16" s="19" t="s">
        <v>256</v>
      </c>
      <c r="J16" s="25" t="n">
        <v>10</v>
      </c>
      <c r="K16" s="19" t="s">
        <v>239</v>
      </c>
      <c r="L16" s="25" t="n">
        <v>10</v>
      </c>
      <c r="M16" s="19" t="s">
        <v>228</v>
      </c>
      <c r="N16" s="25" t="n">
        <v>0</v>
      </c>
      <c r="O16" s="19" t="s">
        <v>275</v>
      </c>
      <c r="P16" s="25" t="n">
        <v>60</v>
      </c>
      <c r="S16" s="26"/>
      <c r="T16" s="19" t="n">
        <f aca="false">D16+F16+H16+J16+L16+N16+P16+R16</f>
        <v>210</v>
      </c>
      <c r="U16" s="19" t="s">
        <v>230</v>
      </c>
    </row>
    <row r="17" customFormat="false" ht="15" hidden="false" customHeight="true" outlineLevel="0" collapsed="false">
      <c r="A17" s="19" t="s">
        <v>276</v>
      </c>
      <c r="B17" s="24" t="s">
        <v>277</v>
      </c>
      <c r="C17" s="19" t="s">
        <v>248</v>
      </c>
      <c r="D17" s="25" t="n">
        <v>0</v>
      </c>
      <c r="E17" s="19" t="s">
        <v>275</v>
      </c>
      <c r="F17" s="25" t="n">
        <v>30</v>
      </c>
      <c r="G17" s="19" t="s">
        <v>233</v>
      </c>
      <c r="H17" s="25" t="n">
        <v>60</v>
      </c>
      <c r="I17" s="19" t="s">
        <v>225</v>
      </c>
      <c r="J17" s="25" t="n">
        <v>8</v>
      </c>
      <c r="K17" s="19" t="s">
        <v>255</v>
      </c>
      <c r="L17" s="25" t="n">
        <v>5</v>
      </c>
      <c r="M17" s="19" t="s">
        <v>228</v>
      </c>
      <c r="N17" s="25" t="n">
        <v>0</v>
      </c>
      <c r="O17" s="19" t="s">
        <v>270</v>
      </c>
      <c r="P17" s="25" t="n">
        <v>0</v>
      </c>
      <c r="S17" s="26"/>
      <c r="T17" s="19" t="n">
        <f aca="false">D17+F17+H17+J17+L17+N17+P17+R17</f>
        <v>103</v>
      </c>
      <c r="U17" s="19" t="s">
        <v>240</v>
      </c>
    </row>
    <row r="18" customFormat="false" ht="15" hidden="false" customHeight="true" outlineLevel="0" collapsed="false">
      <c r="A18" s="19" t="s">
        <v>278</v>
      </c>
      <c r="B18" s="24" t="s">
        <v>279</v>
      </c>
      <c r="C18" s="19" t="s">
        <v>224</v>
      </c>
      <c r="D18" s="25" t="n">
        <v>0</v>
      </c>
      <c r="E18" s="19" t="s">
        <v>225</v>
      </c>
      <c r="F18" s="25" t="n">
        <v>90</v>
      </c>
      <c r="G18" s="19" t="s">
        <v>255</v>
      </c>
      <c r="H18" s="25" t="n">
        <v>60</v>
      </c>
      <c r="I18" s="19" t="s">
        <v>229</v>
      </c>
      <c r="J18" s="25" t="n">
        <v>60</v>
      </c>
      <c r="K18" s="19" t="s">
        <v>227</v>
      </c>
      <c r="L18" s="25" t="n">
        <v>60</v>
      </c>
      <c r="M18" s="19" t="s">
        <v>280</v>
      </c>
      <c r="N18" s="25" t="n">
        <v>5</v>
      </c>
      <c r="O18" s="19" t="s">
        <v>228</v>
      </c>
      <c r="P18" s="25" t="n">
        <v>0</v>
      </c>
      <c r="S18" s="26"/>
      <c r="T18" s="19" t="n">
        <f aca="false">D18+F18+H18+J18+L18+N18+P18+R18</f>
        <v>275</v>
      </c>
      <c r="U18" s="19" t="s">
        <v>230</v>
      </c>
    </row>
    <row r="19" customFormat="false" ht="15" hidden="false" customHeight="true" outlineLevel="0" collapsed="false">
      <c r="A19" s="19" t="s">
        <v>281</v>
      </c>
      <c r="B19" s="24" t="s">
        <v>282</v>
      </c>
      <c r="C19" s="15" t="s">
        <v>266</v>
      </c>
      <c r="D19" s="25" t="n">
        <v>15</v>
      </c>
      <c r="E19" s="19" t="s">
        <v>225</v>
      </c>
      <c r="F19" s="25" t="n">
        <v>15</v>
      </c>
      <c r="G19" s="19" t="s">
        <v>234</v>
      </c>
      <c r="H19" s="25" t="n">
        <v>0</v>
      </c>
      <c r="I19" s="19" t="s">
        <v>227</v>
      </c>
      <c r="J19" s="25" t="n">
        <v>120</v>
      </c>
      <c r="K19" s="19" t="s">
        <v>228</v>
      </c>
      <c r="L19" s="25" t="n">
        <v>0</v>
      </c>
      <c r="S19" s="26"/>
      <c r="T19" s="19" t="n">
        <f aca="false">D19+F19+H19+J19+L19+N19+P19+R19</f>
        <v>150</v>
      </c>
      <c r="U19" s="19" t="s">
        <v>235</v>
      </c>
    </row>
    <row r="20" customFormat="false" ht="15" hidden="false" customHeight="true" outlineLevel="0" collapsed="false">
      <c r="A20" s="19" t="s">
        <v>283</v>
      </c>
      <c r="B20" s="24" t="s">
        <v>284</v>
      </c>
      <c r="C20" s="19" t="s">
        <v>275</v>
      </c>
      <c r="D20" s="25" t="n">
        <v>30</v>
      </c>
      <c r="E20" s="19" t="s">
        <v>225</v>
      </c>
      <c r="F20" s="25" t="n">
        <v>30</v>
      </c>
      <c r="G20" s="19" t="s">
        <v>249</v>
      </c>
      <c r="H20" s="25" t="n">
        <v>30</v>
      </c>
      <c r="I20" s="15" t="s">
        <v>266</v>
      </c>
      <c r="J20" s="25" t="n">
        <v>30</v>
      </c>
      <c r="K20" s="19" t="s">
        <v>228</v>
      </c>
      <c r="L20" s="25" t="n">
        <v>0</v>
      </c>
      <c r="S20" s="26"/>
      <c r="T20" s="19" t="n">
        <f aca="false">D20+F20+H20+J20+L20+N20+P20+R20</f>
        <v>120</v>
      </c>
      <c r="U20" s="19" t="s">
        <v>240</v>
      </c>
    </row>
    <row r="21" customFormat="false" ht="15" hidden="false" customHeight="true" outlineLevel="0" collapsed="false">
      <c r="A21" s="19" t="s">
        <v>285</v>
      </c>
      <c r="B21" s="24" t="s">
        <v>286</v>
      </c>
      <c r="C21" s="19" t="s">
        <v>225</v>
      </c>
      <c r="D21" s="25" t="n">
        <v>60</v>
      </c>
      <c r="E21" s="19" t="s">
        <v>226</v>
      </c>
      <c r="F21" s="25" t="n">
        <v>60</v>
      </c>
      <c r="G21" s="19" t="s">
        <v>287</v>
      </c>
      <c r="H21" s="25" t="n">
        <v>120</v>
      </c>
      <c r="I21" s="19" t="s">
        <v>234</v>
      </c>
      <c r="J21" s="25" t="n">
        <v>0</v>
      </c>
      <c r="S21" s="26"/>
      <c r="T21" s="19" t="n">
        <f aca="false">D21+F21+H21+J21+L21+N21+P21+R21</f>
        <v>240</v>
      </c>
      <c r="U21" s="19" t="s">
        <v>230</v>
      </c>
    </row>
    <row r="22" customFormat="false" ht="15" hidden="false" customHeight="true" outlineLevel="0" collapsed="false">
      <c r="A22" s="19" t="s">
        <v>288</v>
      </c>
      <c r="B22" s="24" t="s">
        <v>286</v>
      </c>
      <c r="C22" s="19" t="s">
        <v>248</v>
      </c>
      <c r="D22" s="19" t="n">
        <v>0</v>
      </c>
      <c r="E22" s="19" t="s">
        <v>225</v>
      </c>
      <c r="F22" s="19" t="n">
        <v>38</v>
      </c>
      <c r="G22" s="19" t="s">
        <v>233</v>
      </c>
      <c r="H22" s="19" t="n">
        <v>45</v>
      </c>
      <c r="I22" s="19" t="s">
        <v>243</v>
      </c>
      <c r="J22" s="19" t="n">
        <v>45</v>
      </c>
      <c r="K22" s="19" t="s">
        <v>280</v>
      </c>
      <c r="L22" s="19" t="n">
        <v>5</v>
      </c>
      <c r="M22" s="19" t="s">
        <v>234</v>
      </c>
      <c r="N22" s="19" t="n">
        <v>0</v>
      </c>
      <c r="S22" s="26"/>
      <c r="T22" s="19" t="n">
        <f aca="false">D22+F22+H22+J22+L22+N22+P22+R22</f>
        <v>133</v>
      </c>
      <c r="U22" s="19" t="s">
        <v>235</v>
      </c>
    </row>
    <row r="23" customFormat="false" ht="15" hidden="false" customHeight="true" outlineLevel="0" collapsed="false">
      <c r="A23" s="19" t="s">
        <v>289</v>
      </c>
      <c r="B23" s="24" t="s">
        <v>286</v>
      </c>
      <c r="C23" s="19" t="s">
        <v>224</v>
      </c>
      <c r="D23" s="19" t="n">
        <v>0</v>
      </c>
      <c r="E23" s="19" t="s">
        <v>229</v>
      </c>
      <c r="F23" s="19" t="n">
        <v>30</v>
      </c>
      <c r="G23" s="19" t="s">
        <v>233</v>
      </c>
      <c r="H23" s="19" t="n">
        <v>30</v>
      </c>
      <c r="I23" s="19" t="s">
        <v>243</v>
      </c>
      <c r="J23" s="19" t="n">
        <v>30</v>
      </c>
      <c r="K23" s="19" t="s">
        <v>225</v>
      </c>
      <c r="L23" s="19" t="n">
        <v>30</v>
      </c>
      <c r="M23" s="19" t="s">
        <v>228</v>
      </c>
      <c r="N23" s="19" t="n">
        <v>0</v>
      </c>
      <c r="S23" s="26"/>
      <c r="T23" s="19" t="n">
        <f aca="false">D23+F23+H23+J23+L23+N23+P23+R23</f>
        <v>120</v>
      </c>
      <c r="U23" s="19" t="s">
        <v>235</v>
      </c>
    </row>
    <row r="24" customFormat="false" ht="15" hidden="false" customHeight="true" outlineLevel="0" collapsed="false">
      <c r="A24" s="19" t="s">
        <v>290</v>
      </c>
      <c r="B24" s="24" t="s">
        <v>286</v>
      </c>
      <c r="C24" s="19" t="s">
        <v>224</v>
      </c>
      <c r="D24" s="19" t="n">
        <v>0</v>
      </c>
      <c r="E24" s="19" t="s">
        <v>275</v>
      </c>
      <c r="F24" s="19" t="n">
        <v>30</v>
      </c>
      <c r="G24" s="19" t="s">
        <v>239</v>
      </c>
      <c r="H24" s="19" t="n">
        <v>180</v>
      </c>
      <c r="I24" s="19" t="s">
        <v>225</v>
      </c>
      <c r="J24" s="19" t="n">
        <v>30</v>
      </c>
      <c r="K24" s="19" t="s">
        <v>234</v>
      </c>
      <c r="L24" s="19" t="n">
        <v>0</v>
      </c>
      <c r="S24" s="26"/>
      <c r="T24" s="19" t="n">
        <f aca="false">D24+F24+H24+J24+L24+N24+P24+R24</f>
        <v>240</v>
      </c>
      <c r="U24" s="19" t="s">
        <v>230</v>
      </c>
    </row>
    <row r="25" customFormat="false" ht="15" hidden="false" customHeight="true" outlineLevel="0" collapsed="false">
      <c r="A25" s="19" t="s">
        <v>291</v>
      </c>
      <c r="B25" s="24" t="s">
        <v>286</v>
      </c>
      <c r="C25" s="19" t="s">
        <v>224</v>
      </c>
      <c r="D25" s="19" t="n">
        <v>0</v>
      </c>
      <c r="E25" s="19" t="s">
        <v>225</v>
      </c>
      <c r="F25" s="19" t="n">
        <v>45</v>
      </c>
      <c r="G25" s="19" t="s">
        <v>243</v>
      </c>
      <c r="H25" s="19" t="n">
        <v>135</v>
      </c>
      <c r="I25" s="19" t="s">
        <v>229</v>
      </c>
      <c r="J25" s="19" t="n">
        <v>10</v>
      </c>
      <c r="K25" s="19" t="s">
        <v>234</v>
      </c>
      <c r="L25" s="19" t="n">
        <v>0</v>
      </c>
      <c r="S25" s="26"/>
      <c r="T25" s="19" t="n">
        <f aca="false">D25+F25+H25+J25+L25+N25+P25+R25</f>
        <v>190</v>
      </c>
      <c r="U25" s="19" t="s">
        <v>230</v>
      </c>
    </row>
    <row r="26" customFormat="false" ht="15" hidden="false" customHeight="true" outlineLevel="0" collapsed="false">
      <c r="A26" s="19" t="s">
        <v>292</v>
      </c>
      <c r="B26" s="24" t="s">
        <v>286</v>
      </c>
      <c r="C26" s="19" t="s">
        <v>224</v>
      </c>
      <c r="D26" s="19" t="n">
        <v>0</v>
      </c>
      <c r="E26" s="19" t="s">
        <v>259</v>
      </c>
      <c r="F26" s="19" t="n">
        <v>30</v>
      </c>
      <c r="G26" s="19" t="s">
        <v>280</v>
      </c>
      <c r="H26" s="19" t="n">
        <v>5</v>
      </c>
      <c r="I26" s="19" t="s">
        <v>227</v>
      </c>
      <c r="J26" s="19" t="n">
        <v>120</v>
      </c>
      <c r="K26" s="19" t="s">
        <v>243</v>
      </c>
      <c r="L26" s="19" t="n">
        <v>120</v>
      </c>
      <c r="M26" s="19" t="s">
        <v>234</v>
      </c>
      <c r="N26" s="19" t="n">
        <v>0</v>
      </c>
      <c r="S26" s="26"/>
      <c r="T26" s="19" t="n">
        <f aca="false">D26+F26+H26+J26+L26+N26+P26+R26</f>
        <v>275</v>
      </c>
      <c r="U26" s="19" t="s">
        <v>230</v>
      </c>
    </row>
    <row r="27" customFormat="false" ht="15" hidden="false" customHeight="true" outlineLevel="0" collapsed="false">
      <c r="A27" s="19" t="s">
        <v>293</v>
      </c>
      <c r="B27" s="24" t="s">
        <v>286</v>
      </c>
      <c r="C27" s="19" t="s">
        <v>227</v>
      </c>
      <c r="D27" s="19" t="n">
        <v>135</v>
      </c>
      <c r="E27" s="19" t="s">
        <v>225</v>
      </c>
      <c r="F27" s="19" t="n">
        <v>60</v>
      </c>
      <c r="G27" s="19" t="s">
        <v>226</v>
      </c>
      <c r="H27" s="19" t="n">
        <v>60</v>
      </c>
      <c r="I27" s="19" t="s">
        <v>228</v>
      </c>
      <c r="J27" s="19" t="n">
        <v>0</v>
      </c>
      <c r="K27" s="19" t="s">
        <v>229</v>
      </c>
      <c r="L27" s="19" t="n">
        <v>30</v>
      </c>
      <c r="S27" s="26"/>
      <c r="T27" s="19" t="n">
        <f aca="false">D27+F27+H27+J27+L27+N27+P27+R27</f>
        <v>285</v>
      </c>
      <c r="U27" s="19" t="s">
        <v>230</v>
      </c>
    </row>
    <row r="28" customFormat="false" ht="15" hidden="false" customHeight="true" outlineLevel="0" collapsed="false">
      <c r="A28" s="19" t="s">
        <v>294</v>
      </c>
      <c r="B28" s="24" t="s">
        <v>286</v>
      </c>
      <c r="C28" s="19" t="s">
        <v>224</v>
      </c>
      <c r="D28" s="19" t="n">
        <v>0</v>
      </c>
      <c r="E28" s="19" t="s">
        <v>280</v>
      </c>
      <c r="F28" s="19" t="n">
        <v>23</v>
      </c>
      <c r="G28" s="19" t="s">
        <v>233</v>
      </c>
      <c r="H28" s="19" t="n">
        <v>60</v>
      </c>
      <c r="I28" s="19" t="s">
        <v>225</v>
      </c>
      <c r="J28" s="19" t="n">
        <v>120</v>
      </c>
      <c r="K28" s="19" t="s">
        <v>228</v>
      </c>
      <c r="L28" s="19" t="n">
        <v>0</v>
      </c>
      <c r="M28" s="19" t="s">
        <v>270</v>
      </c>
      <c r="N28" s="19" t="n">
        <v>0</v>
      </c>
      <c r="S28" s="26"/>
      <c r="T28" s="19" t="n">
        <f aca="false">D28+F28+H28+J28+L28+N28+P28+R28</f>
        <v>203</v>
      </c>
      <c r="U28" s="19" t="s">
        <v>230</v>
      </c>
    </row>
    <row r="29" customFormat="false" ht="15" hidden="false" customHeight="true" outlineLevel="0" collapsed="false">
      <c r="A29" s="19" t="s">
        <v>295</v>
      </c>
      <c r="B29" s="24" t="s">
        <v>286</v>
      </c>
      <c r="C29" s="19" t="s">
        <v>224</v>
      </c>
      <c r="D29" s="19" t="n">
        <v>0</v>
      </c>
      <c r="E29" s="19" t="s">
        <v>275</v>
      </c>
      <c r="F29" s="19" t="n">
        <v>60</v>
      </c>
      <c r="G29" s="19" t="s">
        <v>225</v>
      </c>
      <c r="H29" s="19" t="n">
        <v>60</v>
      </c>
      <c r="I29" s="19" t="s">
        <v>256</v>
      </c>
      <c r="J29" s="19" t="n">
        <v>30</v>
      </c>
      <c r="K29" s="19" t="s">
        <v>229</v>
      </c>
      <c r="L29" s="19" t="n">
        <v>90</v>
      </c>
      <c r="M29" s="19" t="s">
        <v>234</v>
      </c>
      <c r="N29" s="19" t="n">
        <v>0</v>
      </c>
      <c r="S29" s="26"/>
      <c r="T29" s="19" t="n">
        <f aca="false">D29+F29+H29+J29+L29+N29+P29+R29</f>
        <v>240</v>
      </c>
      <c r="U29" s="19" t="s">
        <v>230</v>
      </c>
    </row>
    <row r="30" customFormat="false" ht="15" hidden="false" customHeight="true" outlineLevel="0" collapsed="false">
      <c r="A30" s="19" t="s">
        <v>296</v>
      </c>
      <c r="B30" s="24" t="s">
        <v>286</v>
      </c>
      <c r="C30" s="19" t="s">
        <v>224</v>
      </c>
      <c r="D30" s="19" t="n">
        <v>0</v>
      </c>
      <c r="E30" s="19" t="s">
        <v>266</v>
      </c>
      <c r="F30" s="19" t="n">
        <v>60</v>
      </c>
      <c r="G30" s="19" t="s">
        <v>256</v>
      </c>
      <c r="H30" s="19" t="n">
        <v>30</v>
      </c>
      <c r="I30" s="19" t="s">
        <v>280</v>
      </c>
      <c r="J30" s="19" t="n">
        <v>30</v>
      </c>
      <c r="K30" s="19" t="s">
        <v>228</v>
      </c>
      <c r="L30" s="19" t="n">
        <v>0</v>
      </c>
      <c r="M30" s="19" t="s">
        <v>270</v>
      </c>
      <c r="N30" s="19" t="n">
        <v>0</v>
      </c>
      <c r="S30" s="26"/>
      <c r="T30" s="19" t="n">
        <f aca="false">D30+F30+H30+J30+L30+N30+P30+R30</f>
        <v>120</v>
      </c>
      <c r="U30" s="19" t="s">
        <v>240</v>
      </c>
    </row>
    <row r="31" customFormat="false" ht="15" hidden="false" customHeight="true" outlineLevel="0" collapsed="false">
      <c r="A31" s="19" t="s">
        <v>297</v>
      </c>
      <c r="B31" s="24" t="s">
        <v>286</v>
      </c>
      <c r="C31" s="19" t="s">
        <v>224</v>
      </c>
      <c r="D31" s="19" t="n">
        <v>0</v>
      </c>
      <c r="E31" s="19" t="s">
        <v>225</v>
      </c>
      <c r="F31" s="19" t="n">
        <v>60</v>
      </c>
      <c r="G31" s="19" t="s">
        <v>249</v>
      </c>
      <c r="H31" s="19" t="n">
        <v>30</v>
      </c>
      <c r="I31" s="19" t="s">
        <v>275</v>
      </c>
      <c r="J31" s="19" t="n">
        <v>30</v>
      </c>
      <c r="K31" s="15" t="s">
        <v>266</v>
      </c>
      <c r="L31" s="19" t="n">
        <v>30</v>
      </c>
      <c r="M31" s="19" t="s">
        <v>227</v>
      </c>
      <c r="N31" s="19" t="n">
        <v>60</v>
      </c>
      <c r="O31" s="19" t="s">
        <v>228</v>
      </c>
      <c r="P31" s="19" t="n">
        <v>0</v>
      </c>
      <c r="Q31" s="19" t="s">
        <v>270</v>
      </c>
      <c r="R31" s="19" t="n">
        <v>0</v>
      </c>
      <c r="S31" s="26"/>
      <c r="T31" s="19" t="n">
        <f aca="false">D31+F31+H31+J31+L31+N31+P31+R31</f>
        <v>210</v>
      </c>
      <c r="U31" s="19" t="s">
        <v>230</v>
      </c>
    </row>
    <row r="32" customFormat="false" ht="15" hidden="false" customHeight="true" outlineLevel="0" collapsed="false">
      <c r="A32" s="19" t="s">
        <v>298</v>
      </c>
      <c r="B32" s="24" t="s">
        <v>286</v>
      </c>
      <c r="C32" s="19" t="s">
        <v>224</v>
      </c>
      <c r="D32" s="19" t="n">
        <v>0</v>
      </c>
      <c r="E32" s="15" t="s">
        <v>266</v>
      </c>
      <c r="F32" s="19" t="n">
        <v>45</v>
      </c>
      <c r="G32" s="19" t="s">
        <v>229</v>
      </c>
      <c r="H32" s="19" t="n">
        <v>30</v>
      </c>
      <c r="I32" s="19" t="s">
        <v>255</v>
      </c>
      <c r="J32" s="19" t="n">
        <v>30</v>
      </c>
      <c r="K32" s="19" t="s">
        <v>239</v>
      </c>
      <c r="L32" s="19" t="n">
        <v>15</v>
      </c>
      <c r="M32" s="19" t="s">
        <v>228</v>
      </c>
      <c r="N32" s="19" t="n">
        <v>0</v>
      </c>
      <c r="S32" s="26"/>
      <c r="T32" s="19" t="n">
        <f aca="false">D32+F32+H32+J32+L32+N32+P32+R32</f>
        <v>120</v>
      </c>
      <c r="U32" s="19" t="s">
        <v>235</v>
      </c>
    </row>
    <row r="33" customFormat="false" ht="15" hidden="false" customHeight="true" outlineLevel="0" collapsed="false">
      <c r="A33" s="19" t="s">
        <v>299</v>
      </c>
      <c r="B33" s="24" t="s">
        <v>286</v>
      </c>
      <c r="C33" s="19" t="s">
        <v>225</v>
      </c>
      <c r="D33" s="19" t="n">
        <v>60</v>
      </c>
      <c r="E33" s="19" t="s">
        <v>239</v>
      </c>
      <c r="F33" s="19" t="n">
        <v>30</v>
      </c>
      <c r="G33" s="19" t="s">
        <v>233</v>
      </c>
      <c r="H33" s="19" t="n">
        <v>150</v>
      </c>
      <c r="I33" s="19" t="s">
        <v>234</v>
      </c>
      <c r="J33" s="19" t="n">
        <v>0</v>
      </c>
      <c r="S33" s="26"/>
      <c r="T33" s="19" t="n">
        <f aca="false">D33+F33+H33+J33+L33+N33+P33+R33</f>
        <v>240</v>
      </c>
      <c r="U33" s="19" t="s">
        <v>230</v>
      </c>
    </row>
    <row r="34" customFormat="false" ht="15" hidden="false" customHeight="true" outlineLevel="0" collapsed="false">
      <c r="A34" s="19" t="s">
        <v>300</v>
      </c>
      <c r="B34" s="24" t="s">
        <v>286</v>
      </c>
      <c r="C34" s="19" t="s">
        <v>252</v>
      </c>
      <c r="D34" s="19" t="n">
        <v>120</v>
      </c>
      <c r="E34" s="19" t="s">
        <v>225</v>
      </c>
      <c r="F34" s="19" t="n">
        <v>120</v>
      </c>
      <c r="G34" s="19" t="s">
        <v>280</v>
      </c>
      <c r="H34" s="19" t="n">
        <v>60</v>
      </c>
      <c r="S34" s="26"/>
      <c r="T34" s="19" t="n">
        <f aca="false">D34+F34+H34+J34+L34+N34+P34+R34</f>
        <v>300</v>
      </c>
      <c r="U34" s="19" t="s">
        <v>230</v>
      </c>
    </row>
    <row r="35" customFormat="false" ht="15" hidden="false" customHeight="true" outlineLevel="0" collapsed="false">
      <c r="A35" s="19" t="s">
        <v>301</v>
      </c>
      <c r="B35" s="24" t="s">
        <v>286</v>
      </c>
      <c r="C35" s="19" t="s">
        <v>225</v>
      </c>
      <c r="D35" s="19" t="n">
        <v>30</v>
      </c>
      <c r="E35" s="19" t="s">
        <v>226</v>
      </c>
      <c r="F35" s="19" t="n">
        <v>30</v>
      </c>
      <c r="G35" s="19" t="s">
        <v>233</v>
      </c>
      <c r="H35" s="19" t="n">
        <v>90</v>
      </c>
      <c r="I35" s="19" t="s">
        <v>229</v>
      </c>
      <c r="J35" s="19" t="n">
        <v>90</v>
      </c>
      <c r="K35" s="19" t="s">
        <v>228</v>
      </c>
      <c r="L35" s="19" t="n">
        <v>0</v>
      </c>
      <c r="S35" s="26"/>
      <c r="T35" s="19" t="n">
        <f aca="false">D35+F35+H35+J35+L35+N35+P35+R35</f>
        <v>240</v>
      </c>
      <c r="U35" s="19" t="s">
        <v>230</v>
      </c>
    </row>
    <row r="36" customFormat="false" ht="15" hidden="false" customHeight="true" outlineLevel="0" collapsed="false">
      <c r="A36" s="19" t="s">
        <v>302</v>
      </c>
      <c r="B36" s="24" t="s">
        <v>286</v>
      </c>
      <c r="C36" s="19" t="s">
        <v>225</v>
      </c>
      <c r="D36" s="19" t="n">
        <v>120</v>
      </c>
      <c r="E36" s="19" t="s">
        <v>287</v>
      </c>
      <c r="F36" s="19" t="n">
        <v>120</v>
      </c>
      <c r="G36" s="19" t="s">
        <v>259</v>
      </c>
      <c r="H36" s="19" t="n">
        <v>10</v>
      </c>
      <c r="I36" s="19" t="s">
        <v>234</v>
      </c>
      <c r="J36" s="19" t="n">
        <v>0</v>
      </c>
      <c r="S36" s="26"/>
      <c r="T36" s="19" t="n">
        <f aca="false">D36+F36+H36+J36+L36+N36+P36+R36</f>
        <v>250</v>
      </c>
      <c r="U36" s="19" t="s">
        <v>230</v>
      </c>
    </row>
    <row r="37" customFormat="false" ht="15" hidden="false" customHeight="true" outlineLevel="0" collapsed="false">
      <c r="A37" s="19" t="s">
        <v>303</v>
      </c>
      <c r="B37" s="24" t="s">
        <v>286</v>
      </c>
      <c r="C37" s="19" t="s">
        <v>224</v>
      </c>
      <c r="D37" s="19" t="n">
        <v>0</v>
      </c>
      <c r="E37" s="19" t="s">
        <v>255</v>
      </c>
      <c r="F37" s="19" t="n">
        <v>75</v>
      </c>
      <c r="G37" s="19" t="s">
        <v>233</v>
      </c>
      <c r="H37" s="19" t="n">
        <v>120</v>
      </c>
      <c r="I37" s="19" t="s">
        <v>234</v>
      </c>
      <c r="J37" s="19" t="n">
        <v>0</v>
      </c>
      <c r="K37" s="19" t="s">
        <v>280</v>
      </c>
      <c r="L37" s="19" t="n">
        <v>10</v>
      </c>
      <c r="S37" s="26"/>
      <c r="T37" s="19" t="n">
        <f aca="false">D37+F37+H37+J37+L37+N37+P37+R37</f>
        <v>205</v>
      </c>
      <c r="U37" s="19" t="s">
        <v>230</v>
      </c>
    </row>
    <row r="38" customFormat="false" ht="15" hidden="false" customHeight="true" outlineLevel="0" collapsed="false">
      <c r="A38" s="19" t="s">
        <v>304</v>
      </c>
      <c r="B38" s="24" t="s">
        <v>286</v>
      </c>
      <c r="C38" s="19" t="s">
        <v>224</v>
      </c>
      <c r="D38" s="19" t="n">
        <v>0</v>
      </c>
      <c r="E38" s="19" t="s">
        <v>225</v>
      </c>
      <c r="F38" s="19" t="n">
        <v>30</v>
      </c>
      <c r="G38" s="19" t="s">
        <v>239</v>
      </c>
      <c r="H38" s="19" t="n">
        <v>60</v>
      </c>
      <c r="I38" s="19" t="s">
        <v>229</v>
      </c>
      <c r="J38" s="19" t="n">
        <v>210</v>
      </c>
      <c r="K38" s="19" t="s">
        <v>234</v>
      </c>
      <c r="L38" s="19" t="n">
        <v>0</v>
      </c>
      <c r="S38" s="26"/>
      <c r="T38" s="19" t="n">
        <f aca="false">D38+F38+H38+J38+L38+N38+P38+R38</f>
        <v>300</v>
      </c>
      <c r="U38" s="19" t="s">
        <v>230</v>
      </c>
    </row>
    <row r="39" customFormat="false" ht="15" hidden="false" customHeight="true" outlineLevel="0" collapsed="false">
      <c r="A39" s="19" t="s">
        <v>305</v>
      </c>
      <c r="B39" s="24" t="s">
        <v>286</v>
      </c>
      <c r="C39" s="19" t="s">
        <v>249</v>
      </c>
      <c r="D39" s="19" t="n">
        <v>60</v>
      </c>
      <c r="E39" s="19" t="s">
        <v>233</v>
      </c>
      <c r="F39" s="19" t="n">
        <v>90</v>
      </c>
      <c r="G39" s="19" t="s">
        <v>234</v>
      </c>
      <c r="H39" s="19" t="n">
        <v>0</v>
      </c>
      <c r="S39" s="26"/>
      <c r="T39" s="19" t="n">
        <f aca="false">D39+F39+H39+J39+L39+N39+P39+R39</f>
        <v>150</v>
      </c>
      <c r="U39" s="19" t="s">
        <v>235</v>
      </c>
    </row>
    <row r="40" customFormat="false" ht="15" hidden="false" customHeight="true" outlineLevel="0" collapsed="false">
      <c r="A40" s="19" t="s">
        <v>306</v>
      </c>
      <c r="B40" s="24" t="s">
        <v>286</v>
      </c>
      <c r="C40" s="19" t="s">
        <v>224</v>
      </c>
      <c r="D40" s="19" t="n">
        <v>0</v>
      </c>
      <c r="E40" s="19" t="s">
        <v>249</v>
      </c>
      <c r="F40" s="19" t="n">
        <v>60</v>
      </c>
      <c r="G40" s="19" t="s">
        <v>280</v>
      </c>
      <c r="H40" s="19" t="n">
        <v>5</v>
      </c>
      <c r="I40" s="19" t="s">
        <v>256</v>
      </c>
      <c r="J40" s="19" t="n">
        <v>30</v>
      </c>
      <c r="K40" s="19" t="s">
        <v>239</v>
      </c>
      <c r="L40" s="19" t="n">
        <v>30</v>
      </c>
      <c r="M40" s="19" t="s">
        <v>227</v>
      </c>
      <c r="N40" s="19" t="n">
        <v>60</v>
      </c>
      <c r="O40" s="19" t="s">
        <v>234</v>
      </c>
      <c r="P40" s="19" t="n">
        <v>0</v>
      </c>
      <c r="S40" s="26"/>
      <c r="T40" s="19" t="n">
        <f aca="false">D40+F40+H40+J40+L40+N40+P40+R40</f>
        <v>185</v>
      </c>
      <c r="U40" s="19" t="s">
        <v>230</v>
      </c>
    </row>
    <row r="41" customFormat="false" ht="15" hidden="false" customHeight="true" outlineLevel="0" collapsed="false">
      <c r="A41" s="19" t="s">
        <v>307</v>
      </c>
      <c r="B41" s="24" t="s">
        <v>286</v>
      </c>
      <c r="C41" s="19" t="s">
        <v>224</v>
      </c>
      <c r="D41" s="19" t="n">
        <v>0</v>
      </c>
      <c r="E41" s="19" t="s">
        <v>225</v>
      </c>
      <c r="F41" s="19" t="n">
        <v>45</v>
      </c>
      <c r="G41" s="19" t="s">
        <v>255</v>
      </c>
      <c r="H41" s="19" t="n">
        <v>15</v>
      </c>
      <c r="I41" s="19" t="s">
        <v>229</v>
      </c>
      <c r="J41" s="19" t="n">
        <v>120</v>
      </c>
      <c r="K41" s="19" t="s">
        <v>234</v>
      </c>
      <c r="L41" s="19" t="n">
        <v>0</v>
      </c>
      <c r="S41" s="26"/>
      <c r="T41" s="19" t="n">
        <f aca="false">D41+F41+H41+J41+L41+N41+P41+R41</f>
        <v>180</v>
      </c>
      <c r="U41" s="19" t="s">
        <v>235</v>
      </c>
    </row>
    <row r="42" customFormat="false" ht="15" hidden="false" customHeight="true" outlineLevel="0" collapsed="false">
      <c r="A42" s="19" t="s">
        <v>308</v>
      </c>
      <c r="B42" s="24" t="s">
        <v>286</v>
      </c>
      <c r="C42" s="19" t="s">
        <v>225</v>
      </c>
      <c r="D42" s="19" t="n">
        <v>30</v>
      </c>
      <c r="E42" s="19" t="s">
        <v>249</v>
      </c>
      <c r="F42" s="19" t="n">
        <v>30</v>
      </c>
      <c r="G42" s="19" t="s">
        <v>259</v>
      </c>
      <c r="H42" s="19" t="n">
        <v>30</v>
      </c>
      <c r="I42" s="19" t="s">
        <v>234</v>
      </c>
      <c r="J42" s="19" t="n">
        <v>0</v>
      </c>
      <c r="K42" s="19" t="s">
        <v>309</v>
      </c>
      <c r="L42" s="19" t="n">
        <v>90</v>
      </c>
      <c r="S42" s="26"/>
      <c r="T42" s="19" t="n">
        <f aca="false">D42+F42+H42+J42+L42+N42+P42+R42</f>
        <v>180</v>
      </c>
      <c r="U42" s="19" t="s">
        <v>235</v>
      </c>
    </row>
    <row r="43" customFormat="false" ht="15" hidden="false" customHeight="true" outlineLevel="0" collapsed="false">
      <c r="A43" s="19" t="s">
        <v>310</v>
      </c>
      <c r="B43" s="24" t="s">
        <v>311</v>
      </c>
      <c r="C43" s="19" t="s">
        <v>224</v>
      </c>
      <c r="D43" s="19" t="n">
        <v>0</v>
      </c>
      <c r="E43" s="19" t="s">
        <v>225</v>
      </c>
      <c r="F43" s="19" t="n">
        <v>60</v>
      </c>
      <c r="G43" s="19" t="s">
        <v>287</v>
      </c>
      <c r="H43" s="19" t="n">
        <v>240</v>
      </c>
      <c r="S43" s="26"/>
      <c r="T43" s="19" t="n">
        <f aca="false">D43+F43+H43+J43+L43+N43+P43+R43</f>
        <v>300</v>
      </c>
    </row>
    <row r="44" customFormat="false" ht="15" hidden="false" customHeight="true" outlineLevel="0" collapsed="false">
      <c r="A44" s="19" t="s">
        <v>312</v>
      </c>
      <c r="B44" s="24" t="s">
        <v>311</v>
      </c>
      <c r="C44" s="19" t="s">
        <v>287</v>
      </c>
      <c r="D44" s="19" t="n">
        <v>120</v>
      </c>
      <c r="E44" s="19" t="s">
        <v>259</v>
      </c>
      <c r="F44" s="19" t="n">
        <v>50</v>
      </c>
      <c r="G44" s="19" t="s">
        <v>239</v>
      </c>
      <c r="H44" s="19" t="n">
        <v>10</v>
      </c>
      <c r="S44" s="26"/>
      <c r="T44" s="19" t="n">
        <f aca="false">D44+F44+H44+J44+L44+N44+P44+R44</f>
        <v>180</v>
      </c>
    </row>
    <row r="45" customFormat="false" ht="15" hidden="false" customHeight="true" outlineLevel="0" collapsed="false">
      <c r="A45" s="19" t="s">
        <v>313</v>
      </c>
      <c r="B45" s="24" t="s">
        <v>314</v>
      </c>
      <c r="C45" s="19" t="s">
        <v>238</v>
      </c>
      <c r="D45" s="19" t="n">
        <v>30</v>
      </c>
      <c r="E45" s="19" t="s">
        <v>239</v>
      </c>
      <c r="F45" s="19" t="n">
        <v>30</v>
      </c>
      <c r="G45" s="19" t="s">
        <v>275</v>
      </c>
      <c r="H45" s="19" t="n">
        <v>60</v>
      </c>
      <c r="S45" s="26"/>
      <c r="T45" s="19" t="n">
        <f aca="false">D45+F45+H45+J45+L45+N45+P45+R45</f>
        <v>120</v>
      </c>
    </row>
    <row r="46" customFormat="false" ht="15" hidden="false" customHeight="true" outlineLevel="0" collapsed="false">
      <c r="B46" s="24"/>
      <c r="S46" s="26"/>
      <c r="T46" s="19" t="n">
        <f aca="false">D46+F46+H46+J46+L46+N46+P46+R46</f>
        <v>0</v>
      </c>
    </row>
    <row r="47" customFormat="false" ht="15" hidden="false" customHeight="true" outlineLevel="0" collapsed="false">
      <c r="B47" s="24"/>
      <c r="S47" s="26"/>
      <c r="T47" s="19" t="n">
        <f aca="false">D47+F47+H47+J47+L47+N47+P47+R47</f>
        <v>0</v>
      </c>
    </row>
    <row r="48" customFormat="false" ht="15" hidden="false" customHeight="true" outlineLevel="0" collapsed="false">
      <c r="B48" s="24"/>
      <c r="S48" s="26"/>
      <c r="T48" s="19" t="n">
        <f aca="false">D48+F48+H48+J48+L48+N48+P48+R48</f>
        <v>0</v>
      </c>
    </row>
    <row r="49" customFormat="false" ht="15" hidden="false" customHeight="true" outlineLevel="0" collapsed="false">
      <c r="B49" s="24"/>
      <c r="S49" s="26"/>
      <c r="T49" s="19" t="n">
        <f aca="false">D49+F49+H49+J49+L49+N49+P49+R49</f>
        <v>0</v>
      </c>
    </row>
    <row r="50" customFormat="false" ht="15" hidden="false" customHeight="true" outlineLevel="0" collapsed="false">
      <c r="B50" s="24"/>
      <c r="S50" s="26"/>
      <c r="T50" s="19" t="n">
        <f aca="false">D50+F50+H50+J50+L50+N50+P50+R50</f>
        <v>0</v>
      </c>
    </row>
    <row r="51" customFormat="false" ht="15" hidden="false" customHeight="true" outlineLevel="0" collapsed="false">
      <c r="B51" s="24"/>
      <c r="S51" s="26"/>
      <c r="T51" s="19" t="n">
        <f aca="false">D51+F51+H51+J51+L51+N51+P51+R51</f>
        <v>0</v>
      </c>
    </row>
    <row r="52" customFormat="false" ht="15" hidden="false" customHeight="true" outlineLevel="0" collapsed="false">
      <c r="B52" s="24"/>
      <c r="S52" s="26"/>
      <c r="T52" s="19" t="n">
        <f aca="false">D52+F52+H52+J52+L52+N52+P52+R52</f>
        <v>0</v>
      </c>
    </row>
    <row r="53" customFormat="false" ht="15" hidden="false" customHeight="true" outlineLevel="0" collapsed="false">
      <c r="B53" s="24"/>
      <c r="S53" s="26"/>
      <c r="T53" s="19" t="n">
        <f aca="false">D53+F53+H53+J53+L53+N53+P53+R53</f>
        <v>0</v>
      </c>
    </row>
    <row r="54" customFormat="false" ht="15" hidden="false" customHeight="true" outlineLevel="0" collapsed="false">
      <c r="B54" s="24"/>
      <c r="S54" s="26"/>
      <c r="T54" s="19" t="n">
        <f aca="false">D54+F54+H54+J54+L54+N54+P54+R54</f>
        <v>0</v>
      </c>
    </row>
    <row r="55" customFormat="false" ht="15" hidden="false" customHeight="true" outlineLevel="0" collapsed="false">
      <c r="B55" s="24"/>
      <c r="S55" s="26"/>
      <c r="T55" s="19" t="n">
        <f aca="false">D55+F55+H55+J55+L55+N55+P55+R55</f>
        <v>0</v>
      </c>
    </row>
    <row r="56" customFormat="false" ht="15" hidden="false" customHeight="true" outlineLevel="0" collapsed="false">
      <c r="B56" s="24"/>
      <c r="S56" s="26"/>
      <c r="T56" s="19" t="n">
        <f aca="false">D56+F56+H56+J56+L56+N56+P56+R56</f>
        <v>0</v>
      </c>
    </row>
    <row r="57" customFormat="false" ht="15" hidden="false" customHeight="true" outlineLevel="0" collapsed="false">
      <c r="B57" s="24"/>
      <c r="S57" s="26"/>
      <c r="T57" s="19" t="n">
        <f aca="false">D57+F57+H57+J57+L57+N57+P57+R57</f>
        <v>0</v>
      </c>
    </row>
    <row r="58" customFormat="false" ht="15" hidden="false" customHeight="true" outlineLevel="0" collapsed="false">
      <c r="B58" s="24"/>
      <c r="S58" s="26"/>
      <c r="T58" s="19" t="n">
        <f aca="false">D58+F58+H58+J58+L58+N58+P58+R58</f>
        <v>0</v>
      </c>
    </row>
    <row r="59" customFormat="false" ht="15" hidden="false" customHeight="true" outlineLevel="0" collapsed="false">
      <c r="B59" s="24"/>
      <c r="S59" s="26"/>
      <c r="T59" s="19" t="n">
        <f aca="false">D59+F59+H59+J59+L59+N59+P59+R59</f>
        <v>0</v>
      </c>
    </row>
    <row r="60" customFormat="false" ht="15" hidden="false" customHeight="true" outlineLevel="0" collapsed="false">
      <c r="B60" s="24"/>
      <c r="S60" s="26"/>
      <c r="T60" s="19" t="n">
        <f aca="false">D60+F60+H60+J60+L60+N60+P60+R60</f>
        <v>0</v>
      </c>
    </row>
    <row r="61" customFormat="false" ht="15" hidden="false" customHeight="true" outlineLevel="0" collapsed="false">
      <c r="B61" s="24"/>
      <c r="S61" s="26"/>
      <c r="T61" s="19" t="n">
        <f aca="false">D61+F61+H61+J61+L61+N61+P61+R61</f>
        <v>0</v>
      </c>
    </row>
    <row r="62" customFormat="false" ht="15" hidden="false" customHeight="true" outlineLevel="0" collapsed="false">
      <c r="B62" s="24"/>
      <c r="S62" s="26"/>
      <c r="T62" s="19" t="n">
        <f aca="false">D62+F62+H62+J62+L62+N62+P62+R62</f>
        <v>0</v>
      </c>
    </row>
    <row r="63" customFormat="false" ht="15" hidden="false" customHeight="true" outlineLevel="0" collapsed="false">
      <c r="B63" s="24"/>
      <c r="S63" s="26"/>
      <c r="T63" s="19" t="n">
        <f aca="false">D63+F63+H63+J63+L63+N63+P63+R63</f>
        <v>0</v>
      </c>
    </row>
    <row r="64" customFormat="false" ht="15" hidden="false" customHeight="true" outlineLevel="0" collapsed="false">
      <c r="B64" s="24"/>
      <c r="S64" s="26"/>
      <c r="T64" s="19" t="n">
        <f aca="false">D64+F64+H64+J64+L64+N64+P64+R64</f>
        <v>0</v>
      </c>
    </row>
    <row r="65" customFormat="false" ht="15" hidden="false" customHeight="true" outlineLevel="0" collapsed="false">
      <c r="B65" s="24"/>
      <c r="S65" s="26"/>
      <c r="T65" s="19" t="n">
        <f aca="false">D65+F65+H65+J65+L65+N65+P65+R65</f>
        <v>0</v>
      </c>
    </row>
    <row r="66" customFormat="false" ht="15" hidden="false" customHeight="true" outlineLevel="0" collapsed="false">
      <c r="B66" s="24"/>
      <c r="S66" s="26"/>
      <c r="T66" s="19" t="n">
        <f aca="false">D66+F66+H66+J66+L66+N66+P66+R66</f>
        <v>0</v>
      </c>
    </row>
    <row r="67" customFormat="false" ht="15" hidden="false" customHeight="true" outlineLevel="0" collapsed="false">
      <c r="B67" s="24"/>
      <c r="S67" s="26"/>
      <c r="T67" s="19" t="n">
        <f aca="false">D67+F67+H67+J67+L67+N67+P67+R67</f>
        <v>0</v>
      </c>
    </row>
    <row r="68" customFormat="false" ht="15" hidden="false" customHeight="true" outlineLevel="0" collapsed="false">
      <c r="B68" s="24"/>
      <c r="S68" s="26"/>
      <c r="T68" s="19" t="n">
        <f aca="false">D68+F68+H68+J68+L68+N68+P68+R68</f>
        <v>0</v>
      </c>
    </row>
    <row r="69" customFormat="false" ht="15" hidden="false" customHeight="true" outlineLevel="0" collapsed="false">
      <c r="B69" s="24"/>
      <c r="S69" s="26"/>
      <c r="T69" s="19" t="n">
        <f aca="false">D69+F69+H69+J69+L69+N69+P69+R69</f>
        <v>0</v>
      </c>
    </row>
    <row r="70" customFormat="false" ht="15" hidden="false" customHeight="true" outlineLevel="0" collapsed="false">
      <c r="B70" s="24"/>
      <c r="S70" s="26"/>
      <c r="T70" s="19" t="n">
        <f aca="false">D70+F70+H70+J70+L70+N70+P70+R70</f>
        <v>0</v>
      </c>
    </row>
    <row r="71" customFormat="false" ht="15" hidden="false" customHeight="true" outlineLevel="0" collapsed="false">
      <c r="B71" s="24"/>
      <c r="S71" s="26"/>
      <c r="T71" s="19" t="n">
        <f aca="false">D71+F71+H71+J71+L71+N71+P71+R71</f>
        <v>0</v>
      </c>
    </row>
    <row r="72" customFormat="false" ht="15" hidden="false" customHeight="true" outlineLevel="0" collapsed="false">
      <c r="B72" s="24"/>
      <c r="S72" s="26"/>
      <c r="T72" s="19" t="n">
        <f aca="false">D72+F72+H72+J72+L72+N72+P72+R72</f>
        <v>0</v>
      </c>
    </row>
    <row r="73" customFormat="false" ht="15" hidden="false" customHeight="true" outlineLevel="0" collapsed="false">
      <c r="B73" s="24"/>
      <c r="S73" s="26"/>
      <c r="T73" s="19" t="n">
        <f aca="false">D73+F73+H73+J73+L73+N73+P73+R73</f>
        <v>0</v>
      </c>
    </row>
    <row r="74" customFormat="false" ht="15" hidden="false" customHeight="true" outlineLevel="0" collapsed="false">
      <c r="B74" s="24"/>
      <c r="S74" s="26"/>
      <c r="T74" s="19" t="n">
        <f aca="false">D74+F74+H74+J74+L74+N74+P74+R74</f>
        <v>0</v>
      </c>
    </row>
    <row r="75" customFormat="false" ht="15" hidden="false" customHeight="true" outlineLevel="0" collapsed="false">
      <c r="B75" s="24"/>
      <c r="S75" s="26"/>
      <c r="T75" s="19" t="n">
        <f aca="false">D75+F75+H75+J75+L75+N75+P75+R75</f>
        <v>0</v>
      </c>
    </row>
    <row r="76" customFormat="false" ht="15" hidden="false" customHeight="true" outlineLevel="0" collapsed="false">
      <c r="B76" s="24"/>
      <c r="S76" s="26"/>
      <c r="T76" s="19" t="n">
        <f aca="false">D76+F76+H76+J76+L76+N76+P76+R76</f>
        <v>0</v>
      </c>
    </row>
    <row r="77" customFormat="false" ht="15" hidden="false" customHeight="true" outlineLevel="0" collapsed="false">
      <c r="B77" s="24"/>
      <c r="S77" s="26"/>
      <c r="T77" s="19" t="n">
        <f aca="false">D77+F77+H77+J77+L77+N77+P77+R77</f>
        <v>0</v>
      </c>
    </row>
    <row r="78" customFormat="false" ht="15" hidden="false" customHeight="true" outlineLevel="0" collapsed="false">
      <c r="B78" s="24"/>
      <c r="S78" s="26"/>
      <c r="T78" s="19" t="n">
        <f aca="false">D78+F78+H78+J78+L78+N78+P78+R78</f>
        <v>0</v>
      </c>
    </row>
    <row r="79" customFormat="false" ht="15" hidden="false" customHeight="true" outlineLevel="0" collapsed="false">
      <c r="B79" s="24"/>
      <c r="S79" s="26"/>
      <c r="T79" s="19" t="n">
        <f aca="false">D79+F79+H79+J79+L79+N79+P79+R79</f>
        <v>0</v>
      </c>
    </row>
    <row r="80" customFormat="false" ht="15" hidden="false" customHeight="true" outlineLevel="0" collapsed="false">
      <c r="B80" s="24"/>
      <c r="S80" s="26"/>
      <c r="T80" s="19" t="n">
        <f aca="false">D80+F80+H80+J80+L80+N80+P80+R80</f>
        <v>0</v>
      </c>
    </row>
    <row r="81" customFormat="false" ht="15" hidden="false" customHeight="true" outlineLevel="0" collapsed="false">
      <c r="B81" s="24"/>
      <c r="S81" s="26"/>
      <c r="T81" s="19" t="n">
        <f aca="false">D81+F81+H81+J81+L81+N81+P81+R81</f>
        <v>0</v>
      </c>
    </row>
    <row r="82" customFormat="false" ht="15" hidden="false" customHeight="true" outlineLevel="0" collapsed="false">
      <c r="B82" s="24"/>
      <c r="S82" s="26"/>
      <c r="T82" s="19" t="n">
        <f aca="false">D82+F82+H82+J82+L82+N82+P82+R82</f>
        <v>0</v>
      </c>
    </row>
    <row r="83" customFormat="false" ht="15" hidden="false" customHeight="true" outlineLevel="0" collapsed="false">
      <c r="B83" s="24"/>
      <c r="S83" s="26"/>
      <c r="T83" s="19" t="n">
        <f aca="false">D83+F83+H83+J83+L83+N83+P83+R83</f>
        <v>0</v>
      </c>
    </row>
    <row r="84" customFormat="false" ht="15" hidden="false" customHeight="true" outlineLevel="0" collapsed="false">
      <c r="B84" s="24"/>
      <c r="S84" s="26"/>
      <c r="T84" s="19" t="n">
        <f aca="false">D84+F84+H84+J84+L84+N84+P84+R84</f>
        <v>0</v>
      </c>
    </row>
    <row r="85" customFormat="false" ht="15" hidden="false" customHeight="true" outlineLevel="0" collapsed="false">
      <c r="B85" s="24"/>
      <c r="S85" s="26"/>
      <c r="T85" s="19" t="n">
        <f aca="false">D85+F85+H85+J85+L85+N85+P85+R85</f>
        <v>0</v>
      </c>
    </row>
    <row r="86" customFormat="false" ht="15" hidden="false" customHeight="true" outlineLevel="0" collapsed="false">
      <c r="B86" s="24"/>
      <c r="S86" s="26"/>
      <c r="T86" s="19" t="n">
        <f aca="false">D86+F86+H86+J86+L86+N86+P86+R86</f>
        <v>0</v>
      </c>
    </row>
    <row r="87" customFormat="false" ht="15" hidden="false" customHeight="true" outlineLevel="0" collapsed="false">
      <c r="B87" s="24"/>
      <c r="S87" s="26"/>
      <c r="T87" s="19" t="n">
        <f aca="false">D87+F87+H87+J87+L87+N87+P87+R87</f>
        <v>0</v>
      </c>
    </row>
    <row r="88" customFormat="false" ht="15" hidden="false" customHeight="true" outlineLevel="0" collapsed="false">
      <c r="B88" s="24"/>
      <c r="S88" s="26"/>
      <c r="T88" s="19" t="n">
        <f aca="false">D88+F88+H88+J88+L88+N88+P88+R88</f>
        <v>0</v>
      </c>
    </row>
  </sheetData>
  <conditionalFormatting sqref="B1:B88 T1:T88">
    <cfRule type="cellIs" priority="2" operator="lessThanOrEqual" aboveAverage="0" equalAverage="0" bottom="0" percent="0" rank="0" text="" dxfId="0">
      <formula>120</formula>
    </cfRule>
    <cfRule type="cellIs" priority="3" operator="lessThanOrEqual" aboveAverage="0" equalAverage="0" bottom="0" percent="0" rank="0" text="" dxfId="1">
      <formula>180</formula>
    </cfRule>
    <cfRule type="cellIs" priority="4" operator="greaterThan" aboveAverage="0" equalAverage="0" bottom="0" percent="0" rank="0" text="" dxfId="2">
      <formula>300</formula>
    </cfRule>
  </conditionalFormatting>
  <conditionalFormatting sqref="C2:Q88">
    <cfRule type="containsText" priority="5" operator="containsText" aboveAverage="0" equalAverage="0" bottom="0" percent="0" rank="0" text="#" dxfId="3">
      <formula>NOT(ISERROR(SEARCH("#",C2)))</formula>
    </cfRule>
  </conditionalFormatting>
  <conditionalFormatting sqref="A1:R88">
    <cfRule type="expression" priority="6" aboveAverage="0" equalAverage="0" bottom="0" percent="0" rank="0" text="" dxfId="2">
      <formula>AND(A1&lt;&gt;"",OR(IFERROR(FIND(".",A1),0),IFERROR(FIND(",",A1),0),IFERROR(FIND("'",A1),0),IFERROR(FIND("-",A1),0)))</formula>
    </cfRule>
  </conditionalFormatting>
  <conditionalFormatting sqref="C1:C88 E1:E88 G1:G88 I1:I88 K1:K88 M1:M88 O1:O88">
    <cfRule type="expression" priority="7" aboveAverage="0" equalAverage="0" bottom="0" percent="0" rank="0" text="" dxfId="2">
      <formula>OR(AND(C1="",E1&lt;&gt;""),AND(C1="",D1&lt;&gt;""))</formula>
    </cfRule>
  </conditionalFormatting>
  <conditionalFormatting sqref="C2:C88 E2:E88 G2:G88 I2:I88 K2:K88 M2:M88 O2:O88 Q2:Q88">
    <cfRule type="expression" priority="8" aboveAverage="0" equalAverage="0" bottom="0" percent="0" rank="0" text="" dxfId="4">
      <formula>AND(C2&lt;&gt;"",IFERROR(VLOOKUP(C2,INDIRECT("Fluids!$A$2:$A$30"),1,0)="",1))</formula>
    </cfRule>
  </conditionalFormatting>
  <dataValidations count="1">
    <dataValidation allowBlank="true" errorStyle="stop" operator="between" prompt="Only add drinks set up in the FLUID tab" showDropDown="false" showErrorMessage="false" showInputMessage="true" sqref="C2:C88 E2:E88 G2:G88 I2:I88 K2:K88 M2:M88 O2:O88 Q2:Q88" type="list">
      <formula1>Fluids!$A$2:$A$17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W9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9" width="16"/>
    <col collapsed="false" customWidth="true" hidden="false" outlineLevel="0" max="2" min="2" style="19" width="4.75"/>
    <col collapsed="false" customWidth="true" hidden="false" outlineLevel="0" max="3" min="3" style="19" width="21.75"/>
    <col collapsed="false" customWidth="false" hidden="false" outlineLevel="0" max="5" min="4" style="19" width="12.63"/>
    <col collapsed="false" customWidth="true" hidden="false" outlineLevel="0" max="6" min="6" style="19" width="10.13"/>
    <col collapsed="false" customWidth="true" hidden="false" outlineLevel="0" max="7" min="7" style="19" width="16.25"/>
    <col collapsed="false" customWidth="true" hidden="false" outlineLevel="0" max="8" min="8" style="19" width="23.63"/>
    <col collapsed="false" customWidth="false" hidden="false" outlineLevel="0" max="16384" min="9" style="19" width="12.63"/>
  </cols>
  <sheetData>
    <row r="1" customFormat="false" ht="17.25" hidden="false" customHeight="true" outlineLevel="0" collapsed="false">
      <c r="A1" s="2" t="s">
        <v>315</v>
      </c>
      <c r="B1" s="27" t="str">
        <f aca="false">"/*
  Written by JelleWho
  This file stores all data about all the types of drinks
*/
//Ingredients can NOT have a ""."" or "","" or ""-"" in them!"&amp;CHAR(10)&amp;
D1&amp;CHAR(13)&amp;E1</f>
        <v>/*
  Written by JelleWho
  This file stores all data about all the types of drinks
*/
//Ingredients can NOT have a "." or "," or "-" in them!
enum IngredientE {UNK, TRIPLE_SEC, GIN, LIME_JUICE, LEMON_JUICE, LEMONADE, CRANBERRY_JUICE, VODKA, PEACH_TREE, WHITE_RUM, DARK_RUM, TEQUILA, GRENADINE_SYRUP, COLA, SPRITE, ORANGE_JUICE, PINEAPPLE_JUICE};String IngredientS[] = {"UNK", "TRIPLE_SEC", "GIN", "LIME_JUICE", "LEMON_JUICE", "LEMONADE", "CRANBERRY_JUICE", "VODKA", "PEACH_TREE", "WHITE_RUM", "DARK_RUM", "TEQUILA", "GRENADINE_SYRUP", "COLA", "SPRITE", "ORANGE_JUICE", "PINEAPPLE_JUICE"};</v>
      </c>
      <c r="C1" s="28" t="s">
        <v>316</v>
      </c>
      <c r="D1" s="28" t="str">
        <f aca="false">"enum IngredientE {UNK, " &amp;D2 &amp; "};"</f>
        <v>enum IngredientE {UNK, TRIPLE_SEC, GIN, LIME_JUICE, LEMON_JUICE, LEMONADE, CRANBERRY_JUICE, VODKA, PEACH_TREE, WHITE_RUM, DARK_RUM, TEQUILA, GRENADINE_SYRUP, COLA, SPRITE, ORANGE_JUICE, PINEAPPLE_JUICE};</v>
      </c>
      <c r="E1" s="28" t="str">
        <f aca="false">"String IngredientS[] = {""UNK"", "&amp;E2&amp;"};"</f>
        <v>String IngredientS[] = {"UNK", "TRIPLE_SEC", "GIN", "LIME_JUICE", "LEMON_JUICE", "LEMONADE", "CRANBERRY_JUICE", "VODKA", "PEACH_TREE", "WHITE_RUM", "DARK_RUM", "TEQUILA", "GRENADINE_SYRUP", "COLA", "SPRITE", "ORANGE_JUICE", "PINEAPPLE_JUICE"};</v>
      </c>
      <c r="F1" s="28" t="s">
        <v>317</v>
      </c>
      <c r="G1" s="28" t="str">
        <f aca="false">COUNTIF(G2:G17, "PUMP")&amp;"xPUMP "&amp;COUNTIF(G2:G17, "SHOT")&amp;"xSHOT"</f>
        <v>4xPUMP 12xSHOT</v>
      </c>
      <c r="H1" s="28"/>
      <c r="I1" s="29" t="s">
        <v>318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customFormat="false" ht="15.75" hidden="false" customHeight="false" outlineLevel="0" collapsed="false">
      <c r="A2" s="30" t="s">
        <v>238</v>
      </c>
      <c r="B2" s="19" t="n">
        <v>1</v>
      </c>
      <c r="C2" s="19" t="str">
        <f aca="false">IF(OR(A2="",A2="."),"",UPPER(SUBSTITUTE(SUBSTITUTE(SUBSTITUTE(SUBSTITUTE(SUBSTITUTE(A2, "'", ""), ",", "_"), ".", "_"), "-", "_")," ", "_")))</f>
        <v>TRIPLE_SEC</v>
      </c>
      <c r="D2" s="19" t="str">
        <f aca="false">IF(OR(A2="",A2="."),D3,IF(ROW(A2)&gt;2,", ","")&amp;C2&amp;D3)</f>
        <v>TRIPLE_SEC, GIN, LIME_JUICE, LEMON_JUICE, LEMONADE, CRANBERRY_JUICE, VODKA, PEACH_TREE, WHITE_RUM, DARK_RUM, TEQUILA, GRENADINE_SYRUP, COLA, SPRITE, ORANGE_JUICE, PINEAPPLE_JUICE</v>
      </c>
      <c r="E2" s="19" t="str">
        <f aca="false">IF(OR(A2="",A2="."),E3,IF(ROW(A2)&gt;2,", ","")&amp;""""&amp;C2&amp;""""&amp;E3)</f>
        <v>"TRIPLE_SEC", "GIN", "LIME_JUICE", "LEMON_JUICE", "LEMONADE", "CRANBERRY_JUICE", "VODKA", "PEACH_TREE", "WHITE_RUM", "DARK_RUM", "TEQUILA", "GRENADINE_SYRUP", "COLA", "SPRITE", "ORANGE_JUICE", "PINEAPPLE_JUICE"</v>
      </c>
      <c r="F2" s="19" t="n">
        <f aca="false">COUNTIF(Drinks!C2:Q88, A2)</f>
        <v>11</v>
      </c>
      <c r="G2" s="25" t="s">
        <v>319</v>
      </c>
    </row>
    <row r="3" customFormat="false" ht="15.75" hidden="false" customHeight="false" outlineLevel="0" collapsed="false">
      <c r="A3" s="30" t="s">
        <v>249</v>
      </c>
      <c r="B3" s="19" t="n">
        <f aca="false">B2+1</f>
        <v>2</v>
      </c>
      <c r="C3" s="19" t="str">
        <f aca="false">IF(OR(A3="",A3="."),"",UPPER(SUBSTITUTE(SUBSTITUTE(SUBSTITUTE(SUBSTITUTE(SUBSTITUTE(A3, "'", ""), ",", "_"), ".", "_"), "-", "_")," ", "_")))</f>
        <v>GIN</v>
      </c>
      <c r="D3" s="19" t="str">
        <f aca="false">IF(OR(A3="",A3="."),D4,IF(ROW(A3)&gt;2,", ","")&amp;C3&amp;D4)</f>
        <v>, GIN, LIME_JUICE, LEMON_JUICE, LEMONADE, CRANBERRY_JUICE, VODKA, PEACH_TREE, WHITE_RUM, DARK_RUM, TEQUILA, GRENADINE_SYRUP, COLA, SPRITE, ORANGE_JUICE, PINEAPPLE_JUICE</v>
      </c>
      <c r="E3" s="19" t="str">
        <f aca="false">IF(OR(A3="",A3="."),E4,IF(ROW(A3)&gt;2,", ","")&amp;""""&amp;C3&amp;""""&amp;E4)</f>
        <v>, "GIN", "LIME_JUICE", "LEMON_JUICE", "LEMONADE", "CRANBERRY_JUICE", "VODKA", "PEACH_TREE", "WHITE_RUM", "DARK_RUM", "TEQUILA", "GRENADINE_SYRUP", "COLA", "SPRITE", "ORANGE_JUICE", "PINEAPPLE_JUICE"</v>
      </c>
      <c r="F3" s="19" t="n">
        <f aca="false">COUNTIF(Drinks!C3:Q89, A3)</f>
        <v>14</v>
      </c>
      <c r="G3" s="25" t="s">
        <v>319</v>
      </c>
    </row>
    <row r="4" customFormat="false" ht="15.75" hidden="false" customHeight="false" outlineLevel="0" collapsed="false">
      <c r="A4" s="30" t="s">
        <v>239</v>
      </c>
      <c r="B4" s="19" t="n">
        <f aca="false">B3+1</f>
        <v>3</v>
      </c>
      <c r="C4" s="19" t="str">
        <f aca="false">IF(OR(A4="",A4="."),"",UPPER(SUBSTITUTE(SUBSTITUTE(SUBSTITUTE(SUBSTITUTE(SUBSTITUTE(A4, "'", ""), ",", "_"), ".", "_"), "-", "_")," ", "_")))</f>
        <v>LIME_JUICE</v>
      </c>
      <c r="D4" s="19" t="str">
        <f aca="false">IF(OR(A4="",A4="."),D5,IF(ROW(A4)&gt;2,", ","")&amp;C4&amp;D5)</f>
        <v>, LIME_JUICE, LEMON_JUICE, LEMONADE, CRANBERRY_JUICE, VODKA, PEACH_TREE, WHITE_RUM, DARK_RUM, TEQUILA, GRENADINE_SYRUP, COLA, SPRITE, ORANGE_JUICE, PINEAPPLE_JUICE</v>
      </c>
      <c r="E4" s="19" t="str">
        <f aca="false">IF(OR(A4="",A4="."),E5,IF(ROW(A4)&gt;2,", ","")&amp;""""&amp;C4&amp;""""&amp;E5)</f>
        <v>, "LIME_JUICE", "LEMON_JUICE", "LEMONADE", "CRANBERRY_JUICE", "VODKA", "PEACH_TREE", "WHITE_RUM", "DARK_RUM", "TEQUILA", "GRENADINE_SYRUP", "COLA", "SPRITE", "ORANGE_JUICE", "PINEAPPLE_JUICE"</v>
      </c>
      <c r="F4" s="19" t="n">
        <f aca="false">COUNTIF(Drinks!C4:Q90, A4)</f>
        <v>10</v>
      </c>
      <c r="G4" s="25" t="s">
        <v>319</v>
      </c>
    </row>
    <row r="5" customFormat="false" ht="15.75" hidden="false" customHeight="false" outlineLevel="0" collapsed="false">
      <c r="A5" s="30" t="s">
        <v>256</v>
      </c>
      <c r="B5" s="19" t="n">
        <f aca="false">B4+1</f>
        <v>4</v>
      </c>
      <c r="C5" s="19" t="str">
        <f aca="false">IF(OR(A5="",A5="."),"",UPPER(SUBSTITUTE(SUBSTITUTE(SUBSTITUTE(SUBSTITUTE(SUBSTITUTE(A5, "'", ""), ",", "_"), ".", "_"), "-", "_")," ", "_")))</f>
        <v>LEMON_JUICE</v>
      </c>
      <c r="D5" s="19" t="str">
        <f aca="false">IF(OR(A5="",A5="."),D6,IF(ROW(A5)&gt;2,", ","")&amp;C5&amp;D6)</f>
        <v>, LEMON_JUICE, LEMONADE, CRANBERRY_JUICE, VODKA, PEACH_TREE, WHITE_RUM, DARK_RUM, TEQUILA, GRENADINE_SYRUP, COLA, SPRITE, ORANGE_JUICE, PINEAPPLE_JUICE</v>
      </c>
      <c r="E5" s="19" t="str">
        <f aca="false">IF(OR(A5="",A5="."),E6,IF(ROW(A5)&gt;2,", ","")&amp;""""&amp;C5&amp;""""&amp;E6)</f>
        <v>, "LEMON_JUICE", "LEMONADE", "CRANBERRY_JUICE", "VODKA", "PEACH_TREE", "WHITE_RUM", "DARK_RUM", "TEQUILA", "GRENADINE_SYRUP", "COLA", "SPRITE", "ORANGE_JUICE", "PINEAPPLE_JUICE"</v>
      </c>
      <c r="F5" s="19" t="n">
        <f aca="false">COUNTIF(Drinks!C5:Q91, A5)</f>
        <v>7</v>
      </c>
      <c r="G5" s="25" t="s">
        <v>319</v>
      </c>
    </row>
    <row r="6" customFormat="false" ht="15.75" hidden="false" customHeight="false" outlineLevel="0" collapsed="false">
      <c r="A6" s="30" t="s">
        <v>252</v>
      </c>
      <c r="B6" s="19" t="n">
        <f aca="false">B5+1</f>
        <v>5</v>
      </c>
      <c r="C6" s="19" t="str">
        <f aca="false">IF(OR(A6="",A6="."),"",UPPER(SUBSTITUTE(SUBSTITUTE(SUBSTITUTE(SUBSTITUTE(SUBSTITUTE(A6, "'", ""), ",", "_"), ".", "_"), "-", "_")," ", "_")))</f>
        <v>LEMONADE</v>
      </c>
      <c r="D6" s="19" t="str">
        <f aca="false">IF(OR(A6="",A6="."),D7,IF(ROW(A6)&gt;2,", ","")&amp;C6&amp;D7)</f>
        <v>, LEMONADE, CRANBERRY_JUICE, VODKA, PEACH_TREE, WHITE_RUM, DARK_RUM, TEQUILA, GRENADINE_SYRUP, COLA, SPRITE, ORANGE_JUICE, PINEAPPLE_JUICE</v>
      </c>
      <c r="E6" s="19" t="str">
        <f aca="false">IF(OR(A6="",A6="."),E7,IF(ROW(A6)&gt;2,", ","")&amp;""""&amp;C6&amp;""""&amp;E7)</f>
        <v>, "LEMONADE", "CRANBERRY_JUICE", "VODKA", "PEACH_TREE", "WHITE_RUM", "DARK_RUM", "TEQUILA", "GRENADINE_SYRUP", "COLA", "SPRITE", "ORANGE_JUICE", "PINEAPPLE_JUICE"</v>
      </c>
      <c r="F6" s="19" t="n">
        <f aca="false">COUNTIF(Drinks!C6:Q92, A6)</f>
        <v>3</v>
      </c>
      <c r="G6" s="25" t="s">
        <v>319</v>
      </c>
      <c r="H6" s="19" t="s">
        <v>320</v>
      </c>
    </row>
    <row r="7" customFormat="false" ht="15.75" hidden="false" customHeight="false" outlineLevel="0" collapsed="false">
      <c r="A7" s="30" t="s">
        <v>229</v>
      </c>
      <c r="B7" s="19" t="n">
        <f aca="false">B6+1</f>
        <v>6</v>
      </c>
      <c r="C7" s="19" t="str">
        <f aca="false">IF(OR(A7="",A7="."),"",UPPER(SUBSTITUTE(SUBSTITUTE(SUBSTITUTE(SUBSTITUTE(SUBSTITUTE(A7, "'", ""), ",", "_"), ".", "_"), "-", "_")," ", "_")))</f>
        <v>CRANBERRY_JUICE</v>
      </c>
      <c r="D7" s="19" t="str">
        <f aca="false">IF(OR(A7="",A7="."),D8,IF(ROW(A7)&gt;2,", ","")&amp;C7&amp;D8)</f>
        <v>, CRANBERRY_JUICE, VODKA, PEACH_TREE, WHITE_RUM, DARK_RUM, TEQUILA, GRENADINE_SYRUP, COLA, SPRITE, ORANGE_JUICE, PINEAPPLE_JUICE</v>
      </c>
      <c r="E7" s="19" t="str">
        <f aca="false">IF(OR(A7="",A7="."),E8,IF(ROW(A7)&gt;2,", ","")&amp;""""&amp;C7&amp;""""&amp;E8)</f>
        <v>, "CRANBERRY_JUICE", "VODKA", "PEACH_TREE", "WHITE_RUM", "DARK_RUM", "TEQUILA", "GRENADINE_SYRUP", "COLA", "SPRITE", "ORANGE_JUICE", "PINEAPPLE_JUICE"</v>
      </c>
      <c r="F7" s="19" t="n">
        <f aca="false">COUNTIF(Drinks!C7:Q93, A7)</f>
        <v>12</v>
      </c>
      <c r="G7" s="25" t="s">
        <v>319</v>
      </c>
    </row>
    <row r="8" customFormat="false" ht="15.75" hidden="false" customHeight="false" outlineLevel="0" collapsed="false">
      <c r="A8" s="30" t="s">
        <v>225</v>
      </c>
      <c r="B8" s="19" t="n">
        <f aca="false">B7+1</f>
        <v>7</v>
      </c>
      <c r="C8" s="19" t="str">
        <f aca="false">IF(OR(A8="",A8="."),"",UPPER(SUBSTITUTE(SUBSTITUTE(SUBSTITUTE(SUBSTITUTE(SUBSTITUTE(A8, "'", ""), ",", "_"), ".", "_"), "-", "_")," ", "_")))</f>
        <v>VODKA</v>
      </c>
      <c r="D8" s="19" t="str">
        <f aca="false">IF(OR(A8="",A8="."),D9,IF(ROW(A8)&gt;2,", ","")&amp;C8&amp;D9)</f>
        <v>, VODKA, PEACH_TREE, WHITE_RUM, DARK_RUM, TEQUILA, GRENADINE_SYRUP, COLA, SPRITE, ORANGE_JUICE, PINEAPPLE_JUICE</v>
      </c>
      <c r="E8" s="19" t="str">
        <f aca="false">IF(OR(A8="",A8="."),E9,IF(ROW(A8)&gt;2,", ","")&amp;""""&amp;C8&amp;""""&amp;E9)</f>
        <v>, "VODKA", "PEACH_TREE", "WHITE_RUM", "DARK_RUM", "TEQUILA", "GRENADINE_SYRUP", "COLA", "SPRITE", "ORANGE_JUICE", "PINEAPPLE_JUICE"</v>
      </c>
      <c r="F8" s="19" t="n">
        <f aca="false">COUNTIF(Drinks!C8:Q94, A8)</f>
        <v>24</v>
      </c>
      <c r="G8" s="25" t="s">
        <v>319</v>
      </c>
    </row>
    <row r="9" customFormat="false" ht="15.75" hidden="false" customHeight="false" outlineLevel="0" collapsed="false">
      <c r="A9" s="30" t="s">
        <v>226</v>
      </c>
      <c r="B9" s="19" t="n">
        <f aca="false">B8+1</f>
        <v>8</v>
      </c>
      <c r="C9" s="19" t="str">
        <f aca="false">IF(OR(A9="",A9="."),"",UPPER(SUBSTITUTE(SUBSTITUTE(SUBSTITUTE(SUBSTITUTE(SUBSTITUTE(A9, "'", ""), ",", "_"), ".", "_"), "-", "_")," ", "_")))</f>
        <v>PEACH_TREE</v>
      </c>
      <c r="D9" s="19" t="str">
        <f aca="false">IF(OR(A9="",A9="."),D10,IF(ROW(A9)&gt;2,", ","")&amp;C9&amp;D10)</f>
        <v>, PEACH_TREE, WHITE_RUM, DARK_RUM, TEQUILA, GRENADINE_SYRUP, COLA, SPRITE, ORANGE_JUICE, PINEAPPLE_JUICE</v>
      </c>
      <c r="E9" s="19" t="str">
        <f aca="false">IF(OR(A9="",A9="."),E10,IF(ROW(A9)&gt;2,", ","")&amp;""""&amp;C9&amp;""""&amp;E10)</f>
        <v>, "PEACH_TREE", "WHITE_RUM", "DARK_RUM", "TEQUILA", "GRENADINE_SYRUP", "COLA", "SPRITE", "ORANGE_JUICE", "PINEAPPLE_JUICE"</v>
      </c>
      <c r="F9" s="19" t="n">
        <f aca="false">COUNTIF(Drinks!C9:Q95, A9)</f>
        <v>3</v>
      </c>
      <c r="G9" s="25" t="s">
        <v>319</v>
      </c>
    </row>
    <row r="10" customFormat="false" ht="15.75" hidden="false" customHeight="false" outlineLevel="0" collapsed="false">
      <c r="A10" s="30" t="s">
        <v>259</v>
      </c>
      <c r="B10" s="19" t="n">
        <f aca="false">B9+1</f>
        <v>9</v>
      </c>
      <c r="C10" s="19" t="str">
        <f aca="false">IF(OR(A10="",A10="."),"",UPPER(SUBSTITUTE(SUBSTITUTE(SUBSTITUTE(SUBSTITUTE(SUBSTITUTE(A10, "'", ""), ",", "_"), ".", "_"), "-", "_")," ", "_")))</f>
        <v>WHITE_RUM</v>
      </c>
      <c r="D10" s="19" t="str">
        <f aca="false">IF(OR(A10="",A10="."),D11,IF(ROW(A10)&gt;2,", ","")&amp;C10&amp;D11)</f>
        <v>, WHITE_RUM, DARK_RUM, TEQUILA, GRENADINE_SYRUP, COLA, SPRITE, ORANGE_JUICE, PINEAPPLE_JUICE</v>
      </c>
      <c r="E10" s="19" t="str">
        <f aca="false">IF(OR(A10="",A10="."),E11,IF(ROW(A10)&gt;2,", ","")&amp;""""&amp;C10&amp;""""&amp;E11)</f>
        <v>, "WHITE_RUM", "DARK_RUM", "TEQUILA", "GRENADINE_SYRUP", "COLA", "SPRITE", "ORANGE_JUICE", "PINEAPPLE_JUICE"</v>
      </c>
      <c r="F10" s="19" t="n">
        <f aca="false">COUNTIF(Drinks!C10:Q96, A10)</f>
        <v>6</v>
      </c>
      <c r="G10" s="25" t="s">
        <v>319</v>
      </c>
    </row>
    <row r="11" customFormat="false" ht="15.75" hidden="false" customHeight="false" outlineLevel="0" collapsed="false">
      <c r="A11" s="30" t="s">
        <v>266</v>
      </c>
      <c r="B11" s="19" t="n">
        <f aca="false">B10+1</f>
        <v>10</v>
      </c>
      <c r="C11" s="19" t="str">
        <f aca="false">IF(OR(A11="",A11="."),"",UPPER(SUBSTITUTE(SUBSTITUTE(SUBSTITUTE(SUBSTITUTE(SUBSTITUTE(A11, "'", ""), ",", "_"), ".", "_"), "-", "_")," ", "_")))</f>
        <v>DARK_RUM</v>
      </c>
      <c r="D11" s="19" t="str">
        <f aca="false">IF(OR(A11="",A11="."),D12,IF(ROW(A11)&gt;2,", ","")&amp;C11&amp;D12)</f>
        <v>, DARK_RUM, TEQUILA, GRENADINE_SYRUP, COLA, SPRITE, ORANGE_JUICE, PINEAPPLE_JUICE</v>
      </c>
      <c r="E11" s="19" t="str">
        <f aca="false">IF(OR(A11="",A11="."),E12,IF(ROW(A11)&gt;2,", ","")&amp;""""&amp;C11&amp;""""&amp;E12)</f>
        <v>, "DARK_RUM", "TEQUILA", "GRENADINE_SYRUP", "COLA", "SPRITE", "ORANGE_JUICE", "PINEAPPLE_JUICE"</v>
      </c>
      <c r="F11" s="19" t="n">
        <f aca="false">COUNTIF(Drinks!C11:Q97, A11)</f>
        <v>6</v>
      </c>
      <c r="G11" s="25" t="s">
        <v>319</v>
      </c>
    </row>
    <row r="12" customFormat="false" ht="15.75" hidden="false" customHeight="false" outlineLevel="0" collapsed="false">
      <c r="A12" s="30" t="s">
        <v>275</v>
      </c>
      <c r="B12" s="19" t="n">
        <f aca="false">B11+1</f>
        <v>11</v>
      </c>
      <c r="C12" s="19" t="str">
        <f aca="false">IF(OR(A12="",A12="."),"",UPPER(SUBSTITUTE(SUBSTITUTE(SUBSTITUTE(SUBSTITUTE(SUBSTITUTE(A12, "'", ""), ",", "_"), ".", "_"), "-", "_")," ", "_")))</f>
        <v>TEQUILA</v>
      </c>
      <c r="D12" s="19" t="str">
        <f aca="false">IF(OR(A12="",A12="."),D13,IF(ROW(A12)&gt;2,", ","")&amp;C12&amp;D13)</f>
        <v>, TEQUILA, GRENADINE_SYRUP, COLA, SPRITE, ORANGE_JUICE, PINEAPPLE_JUICE</v>
      </c>
      <c r="E12" s="19" t="str">
        <f aca="false">IF(OR(A12="",A12="."),E13,IF(ROW(A12)&gt;2,", ","")&amp;""""&amp;C12&amp;""""&amp;E13)</f>
        <v>, "TEQUILA", "GRENADINE_SYRUP", "COLA", "SPRITE", "ORANGE_JUICE", "PINEAPPLE_JUICE"</v>
      </c>
      <c r="F12" s="19" t="n">
        <f aca="false">COUNTIF(Drinks!C12:Q98, A12)</f>
        <v>7</v>
      </c>
      <c r="G12" s="25" t="s">
        <v>319</v>
      </c>
    </row>
    <row r="13" customFormat="false" ht="15.75" hidden="false" customHeight="false" outlineLevel="0" collapsed="false">
      <c r="A13" s="30" t="s">
        <v>280</v>
      </c>
      <c r="B13" s="19" t="n">
        <f aca="false">B12+1</f>
        <v>12</v>
      </c>
      <c r="C13" s="19" t="str">
        <f aca="false">IF(OR(A13="",A13="."),"",UPPER(SUBSTITUTE(SUBSTITUTE(SUBSTITUTE(SUBSTITUTE(SUBSTITUTE(A13, "'", ""), ",", "_"), ".", "_"), "-", "_")," ", "_")))</f>
        <v>GRENADINE_SYRUP</v>
      </c>
      <c r="D13" s="19" t="str">
        <f aca="false">IF(OR(A13="",A13="."),D14,IF(ROW(A13)&gt;2,", ","")&amp;C13&amp;D14)</f>
        <v>, GRENADINE_SYRUP, COLA, SPRITE, ORANGE_JUICE, PINEAPPLE_JUICE</v>
      </c>
      <c r="E13" s="19" t="str">
        <f aca="false">IF(OR(A13="",A13="."),E14,IF(ROW(A13)&gt;2,", ","")&amp;""""&amp;C13&amp;""""&amp;E14)</f>
        <v>, "GRENADINE_SYRUP", "COLA", "SPRITE", "ORANGE_JUICE", "PINEAPPLE_JUICE"</v>
      </c>
      <c r="F13" s="19" t="n">
        <f aca="false">COUNTIF(Drinks!C13:Q99, A13)</f>
        <v>8</v>
      </c>
      <c r="G13" s="25" t="s">
        <v>319</v>
      </c>
    </row>
    <row r="14" customFormat="false" ht="15.75" hidden="false" customHeight="false" outlineLevel="0" collapsed="false">
      <c r="A14" s="30" t="s">
        <v>287</v>
      </c>
      <c r="B14" s="19" t="n">
        <f aca="false">B13+1</f>
        <v>13</v>
      </c>
      <c r="C14" s="19" t="str">
        <f aca="false">IF(OR(A14="",A14="."),"",UPPER(SUBSTITUTE(SUBSTITUTE(SUBSTITUTE(SUBSTITUTE(SUBSTITUTE(A14, "'", ""), ",", "_"), ".", "_"), "-", "_")," ", "_")))</f>
        <v>COLA</v>
      </c>
      <c r="D14" s="19" t="str">
        <f aca="false">IF(OR(A14="",A14="."),D15,IF(ROW(A14)&gt;2,", ","")&amp;C14&amp;D15)</f>
        <v>, COLA, SPRITE, ORANGE_JUICE, PINEAPPLE_JUICE</v>
      </c>
      <c r="E14" s="19" t="str">
        <f aca="false">IF(OR(A14="",A14="."),E15,IF(ROW(A14)&gt;2,", ","")&amp;""""&amp;C14&amp;""""&amp;E15)</f>
        <v>, "COLA", "SPRITE", "ORANGE_JUICE", "PINEAPPLE_JUICE"</v>
      </c>
      <c r="F14" s="19" t="n">
        <f aca="false">COUNTIF(Drinks!C14:Q100, A14)</f>
        <v>4</v>
      </c>
      <c r="G14" s="31" t="s">
        <v>321</v>
      </c>
    </row>
    <row r="15" customFormat="false" ht="15.75" hidden="false" customHeight="false" outlineLevel="0" collapsed="false">
      <c r="A15" s="30" t="s">
        <v>309</v>
      </c>
      <c r="B15" s="19" t="n">
        <f aca="false">B14+1</f>
        <v>14</v>
      </c>
      <c r="C15" s="19" t="str">
        <f aca="false">IF(OR(A15="",A15="."),"",UPPER(SUBSTITUTE(SUBSTITUTE(SUBSTITUTE(SUBSTITUTE(SUBSTITUTE(A15, "'", ""), ",", "_"), ".", "_"), "-", "_")," ", "_")))</f>
        <v>SPRITE</v>
      </c>
      <c r="D15" s="19" t="str">
        <f aca="false">IF(OR(A15="",A15="."),D16,IF(ROW(A15)&gt;2,", ","")&amp;C15&amp;D16)</f>
        <v>, SPRITE, ORANGE_JUICE, PINEAPPLE_JUICE</v>
      </c>
      <c r="E15" s="19" t="str">
        <f aca="false">IF(OR(A15="",A15="."),E16,IF(ROW(A15)&gt;2,", ","")&amp;""""&amp;C15&amp;""""&amp;E16)</f>
        <v>, "SPRITE", "ORANGE_JUICE", "PINEAPPLE_JUICE"</v>
      </c>
      <c r="F15" s="19" t="n">
        <f aca="false">COUNTIF(Drinks!C15:Q101, A15)</f>
        <v>1</v>
      </c>
      <c r="G15" s="31" t="s">
        <v>321</v>
      </c>
    </row>
    <row r="16" customFormat="false" ht="15.75" hidden="false" customHeight="false" outlineLevel="0" collapsed="false">
      <c r="A16" s="30" t="s">
        <v>233</v>
      </c>
      <c r="B16" s="19" t="n">
        <f aca="false">B15+1</f>
        <v>15</v>
      </c>
      <c r="C16" s="19" t="str">
        <f aca="false">IF(OR(A16="",A16="."),"",UPPER(SUBSTITUTE(SUBSTITUTE(SUBSTITUTE(SUBSTITUTE(SUBSTITUTE(A16, "'", ""), ",", "_"), ".", "_"), "-", "_")," ", "_")))</f>
        <v>ORANGE_JUICE</v>
      </c>
      <c r="D16" s="19" t="str">
        <f aca="false">IF(OR(A16="",A16="."),D17,IF(ROW(A16)&gt;2,", ","")&amp;C16&amp;D17)</f>
        <v>, ORANGE_JUICE, PINEAPPLE_JUICE</v>
      </c>
      <c r="E16" s="19" t="str">
        <f aca="false">IF(OR(A16="",A16="."),E17,IF(ROW(A16)&gt;2,", ","")&amp;""""&amp;C16&amp;""""&amp;E17)</f>
        <v>, "ORANGE_JUICE", "PINEAPPLE_JUICE"</v>
      </c>
      <c r="F16" s="19" t="n">
        <f aca="false">COUNTIF(Drinks!C16:Q102, A16)</f>
        <v>14</v>
      </c>
      <c r="G16" s="19" t="s">
        <v>321</v>
      </c>
    </row>
    <row r="17" customFormat="false" ht="15.75" hidden="false" customHeight="false" outlineLevel="0" collapsed="false">
      <c r="A17" s="30" t="s">
        <v>243</v>
      </c>
      <c r="B17" s="19" t="n">
        <f aca="false">B16+1</f>
        <v>16</v>
      </c>
      <c r="C17" s="19" t="str">
        <f aca="false">IF(OR(A17="",A17="."),"",UPPER(SUBSTITUTE(SUBSTITUTE(SUBSTITUTE(SUBSTITUTE(SUBSTITUTE(A17, "'", ""), ",", "_"), ".", "_"), "-", "_")," ", "_")))</f>
        <v>PINEAPPLE_JUICE</v>
      </c>
      <c r="D17" s="19" t="str">
        <f aca="false">IF(OR(A17="",A17="."),D18,IF(ROW(A17)&gt;2,", ","")&amp;C17&amp;D18)</f>
        <v>, PINEAPPLE_JUICE</v>
      </c>
      <c r="E17" s="19" t="str">
        <f aca="false">IF(OR(A17="",A17="."),E18,IF(ROW(A17)&gt;2,", ","")&amp;""""&amp;C17&amp;""""&amp;E18)</f>
        <v>, "PINEAPPLE_JUICE"</v>
      </c>
      <c r="F17" s="19" t="n">
        <f aca="false">COUNTIF(Drinks!C17:Q103, A17)</f>
        <v>4</v>
      </c>
      <c r="G17" s="19" t="s">
        <v>321</v>
      </c>
    </row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  <row r="21" customFormat="false" ht="15.75" hidden="false" customHeight="false" outlineLevel="0" collapsed="false"/>
    <row r="22" customFormat="false" ht="15.75" hidden="false" customHeight="false" outlineLevel="0" collapsed="false"/>
    <row r="23" customFormat="false" ht="15.75" hidden="false" customHeight="false" outlineLevel="0" collapsed="false"/>
    <row r="24" customFormat="false" ht="15.75" hidden="false" customHeight="false" outlineLevel="0" collapsed="false"/>
    <row r="25" customFormat="false" ht="15.75" hidden="false" customHeight="false" outlineLevel="0" collapsed="false"/>
    <row r="26" customFormat="false" ht="15.75" hidden="false" customHeight="false" outlineLevel="0" collapsed="false"/>
    <row r="27" customFormat="false" ht="15.75" hidden="false" customHeight="false" outlineLevel="0" collapsed="false"/>
    <row r="28" customFormat="false" ht="15.75" hidden="false" customHeight="false" outlineLevel="0" collapsed="false"/>
    <row r="29" customFormat="false" ht="15.75" hidden="false" customHeight="false" outlineLevel="0" collapsed="false"/>
    <row r="30" customFormat="false" ht="15.75" hidden="false" customHeight="false" outlineLevel="0" collapsed="false"/>
    <row r="31" customFormat="false" ht="15.75" hidden="false" customHeight="false" outlineLevel="0" collapsed="false"/>
    <row r="32" customFormat="false" ht="15.75" hidden="false" customHeight="false" outlineLevel="0" collapsed="false"/>
    <row r="33" customFormat="false" ht="15.75" hidden="false" customHeight="false" outlineLevel="0" collapsed="false"/>
    <row r="34" customFormat="false" ht="15.75" hidden="false" customHeight="false" outlineLevel="0" collapsed="false"/>
    <row r="35" customFormat="false" ht="15.75" hidden="false" customHeight="false" outlineLevel="0" collapsed="false"/>
    <row r="36" customFormat="false" ht="15.75" hidden="false" customHeight="false" outlineLevel="0" collapsed="false"/>
    <row r="37" customFormat="false" ht="15.75" hidden="false" customHeight="false" outlineLevel="0" collapsed="false"/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false" outlineLevel="0" collapsed="false"/>
    <row r="41" customFormat="false" ht="15.75" hidden="false" customHeight="false" outlineLevel="0" collapsed="false"/>
    <row r="42" customFormat="false" ht="15.75" hidden="false" customHeight="false" outlineLevel="0" collapsed="false"/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  <row r="47" customFormat="false" ht="15.75" hidden="false" customHeight="false" outlineLevel="0" collapsed="false"/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/>
    <row r="51" customFormat="false" ht="15.75" hidden="false" customHeight="false" outlineLevel="0" collapsed="false"/>
    <row r="52" customFormat="false" ht="15.75" hidden="false" customHeight="false" outlineLevel="0" collapsed="false"/>
    <row r="53" customFormat="false" ht="15.75" hidden="false" customHeight="false" outlineLevel="0" collapsed="false"/>
    <row r="54" customFormat="false" ht="15.75" hidden="false" customHeight="false" outlineLevel="0" collapsed="false"/>
    <row r="55" customFormat="false" ht="15.75" hidden="false" customHeight="false" outlineLevel="0" collapsed="false"/>
    <row r="56" customFormat="false" ht="15.75" hidden="false" customHeight="false" outlineLevel="0" collapsed="false"/>
    <row r="57" customFormat="false" ht="15.75" hidden="false" customHeight="false" outlineLevel="0" collapsed="false"/>
    <row r="58" customFormat="false" ht="15.75" hidden="false" customHeight="false" outlineLevel="0" collapsed="false"/>
    <row r="59" customFormat="false" ht="15.75" hidden="false" customHeight="false" outlineLevel="0" collapsed="false"/>
    <row r="60" customFormat="false" ht="15.75" hidden="false" customHeight="false" outlineLevel="0" collapsed="false"/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false" outlineLevel="0" collapsed="false"/>
    <row r="64" customFormat="false" ht="15.75" hidden="false" customHeight="false" outlineLevel="0" collapsed="false"/>
    <row r="65" customFormat="false" ht="15.75" hidden="false" customHeight="false" outlineLevel="0" collapsed="false"/>
    <row r="66" customFormat="false" ht="15.75" hidden="false" customHeight="false" outlineLevel="0" collapsed="false"/>
    <row r="67" customFormat="false" ht="15.75" hidden="false" customHeight="false" outlineLevel="0" collapsed="false"/>
    <row r="68" customFormat="false" ht="15.75" hidden="false" customHeight="false" outlineLevel="0" collapsed="false"/>
    <row r="69" customFormat="false" ht="15.75" hidden="false" customHeight="false" outlineLevel="0" collapsed="false"/>
    <row r="70" customFormat="false" ht="15.75" hidden="false" customHeight="false" outlineLevel="0" collapsed="false"/>
    <row r="71" customFormat="false" ht="15.75" hidden="false" customHeight="false" outlineLevel="0" collapsed="false"/>
    <row r="72" customFormat="false" ht="15.75" hidden="false" customHeight="false" outlineLevel="0" collapsed="false"/>
    <row r="73" customFormat="false" ht="15.75" hidden="false" customHeight="false" outlineLevel="0" collapsed="false"/>
    <row r="74" customFormat="false" ht="15.75" hidden="false" customHeight="false" outlineLevel="0" collapsed="false"/>
    <row r="75" customFormat="false" ht="15.75" hidden="false" customHeight="false" outlineLevel="0" collapsed="false"/>
    <row r="76" customFormat="false" ht="15.75" hidden="false" customHeight="false" outlineLevel="0" collapsed="false"/>
    <row r="77" customFormat="false" ht="15.75" hidden="false" customHeight="false" outlineLevel="0" collapsed="false"/>
    <row r="78" customFormat="false" ht="15.75" hidden="false" customHeight="false" outlineLevel="0" collapsed="false"/>
    <row r="79" customFormat="false" ht="15.75" hidden="false" customHeight="false" outlineLevel="0" collapsed="false"/>
    <row r="80" customFormat="false" ht="15.75" hidden="false" customHeight="false" outlineLevel="0" collapsed="false"/>
    <row r="81" customFormat="false" ht="15.75" hidden="false" customHeight="false" outlineLevel="0" collapsed="false"/>
    <row r="82" customFormat="false" ht="15.75" hidden="false" customHeight="false" outlineLevel="0" collapsed="false"/>
    <row r="83" customFormat="false" ht="15.75" hidden="false" customHeight="false" outlineLevel="0" collapsed="false"/>
    <row r="84" customFormat="false" ht="15.75" hidden="false" customHeight="false" outlineLevel="0" collapsed="false"/>
    <row r="85" customFormat="false" ht="15.75" hidden="false" customHeight="false" outlineLevel="0" collapsed="false"/>
    <row r="86" customFormat="false" ht="15.75" hidden="false" customHeight="false" outlineLevel="0" collapsed="false"/>
    <row r="87" customFormat="false" ht="15.75" hidden="false" customHeight="false" outlineLevel="0" collapsed="false"/>
    <row r="88" customFormat="false" ht="15.75" hidden="false" customHeight="false" outlineLevel="0" collapsed="false"/>
    <row r="89" customFormat="false" ht="15.75" hidden="false" customHeight="false" outlineLevel="0" collapsed="false"/>
    <row r="90" customFormat="false" ht="15.75" hidden="false" customHeight="false" outlineLevel="0" collapsed="false"/>
    <row r="91" customFormat="false" ht="15.75" hidden="false" customHeight="false" outlineLevel="0" collapsed="false"/>
    <row r="92" customFormat="false" ht="15.75" hidden="false" customHeight="false" outlineLevel="0" collapsed="false"/>
    <row r="93" customFormat="false" ht="15.75" hidden="false" customHeight="false" outlineLevel="0" collapsed="false"/>
    <row r="94" customFormat="false" ht="15.75" hidden="false" customHeight="false" outlineLevel="0" collapsed="false"/>
    <row r="95" customFormat="false" ht="15.75" hidden="false" customHeight="false" outlineLevel="0" collapsed="false"/>
    <row r="96" customFormat="false" ht="15.75" hidden="false" customHeight="false" outlineLevel="0" collapsed="false"/>
    <row r="97" customFormat="false" ht="15.75" hidden="false" customHeight="false" outlineLevel="0" collapsed="false"/>
    <row r="98" customFormat="false" ht="15.75" hidden="false" customHeight="false" outlineLevel="0" collapsed="false"/>
    <row r="99" customFormat="false" ht="15.75" hidden="false" customHeight="false" outlineLevel="0" collapsed="false"/>
    <row r="100" customFormat="false" ht="15.75" hidden="false" customHeight="false" outlineLevel="0" collapsed="false"/>
    <row r="101" customFormat="false" ht="15.75" hidden="false" customHeight="false" outlineLevel="0" collapsed="false"/>
    <row r="102" customFormat="false" ht="15.75" hidden="false" customHeight="false" outlineLevel="0" collapsed="false"/>
    <row r="103" customFormat="false" ht="15.75" hidden="false" customHeight="false" outlineLevel="0" collapsed="false"/>
    <row r="104" customFormat="false" ht="15.75" hidden="false" customHeight="false" outlineLevel="0" collapsed="false"/>
    <row r="105" customFormat="false" ht="15.75" hidden="false" customHeight="false" outlineLevel="0" collapsed="false"/>
    <row r="106" customFormat="false" ht="15.75" hidden="false" customHeight="false" outlineLevel="0" collapsed="false"/>
    <row r="107" customFormat="false" ht="15.75" hidden="false" customHeight="false" outlineLevel="0" collapsed="false"/>
    <row r="108" customFormat="false" ht="15.75" hidden="false" customHeight="false" outlineLevel="0" collapsed="false"/>
    <row r="109" customFormat="false" ht="15.75" hidden="false" customHeight="false" outlineLevel="0" collapsed="false"/>
    <row r="110" customFormat="false" ht="15.75" hidden="false" customHeight="false" outlineLevel="0" collapsed="false"/>
    <row r="111" customFormat="false" ht="15.75" hidden="false" customHeight="false" outlineLevel="0" collapsed="false"/>
    <row r="112" customFormat="false" ht="15.75" hidden="false" customHeight="false" outlineLevel="0" collapsed="false"/>
    <row r="113" customFormat="false" ht="15.75" hidden="false" customHeight="false" outlineLevel="0" collapsed="false"/>
    <row r="114" customFormat="false" ht="15.75" hidden="false" customHeight="false" outlineLevel="0" collapsed="false"/>
    <row r="115" customFormat="false" ht="15.75" hidden="false" customHeight="false" outlineLevel="0" collapsed="false"/>
    <row r="116" customFormat="false" ht="15.75" hidden="false" customHeight="false" outlineLevel="0" collapsed="false"/>
    <row r="117" customFormat="false" ht="15.75" hidden="false" customHeight="false" outlineLevel="0" collapsed="false"/>
    <row r="118" customFormat="false" ht="15.75" hidden="false" customHeight="false" outlineLevel="0" collapsed="false"/>
    <row r="119" customFormat="false" ht="15.75" hidden="false" customHeight="false" outlineLevel="0" collapsed="false"/>
    <row r="120" customFormat="false" ht="15.75" hidden="false" customHeight="false" outlineLevel="0" collapsed="false"/>
    <row r="121" customFormat="false" ht="15.75" hidden="false" customHeight="false" outlineLevel="0" collapsed="false"/>
    <row r="122" customFormat="false" ht="15.75" hidden="false" customHeight="false" outlineLevel="0" collapsed="false"/>
    <row r="123" customFormat="false" ht="15.75" hidden="false" customHeight="false" outlineLevel="0" collapsed="false"/>
    <row r="124" customFormat="false" ht="15.75" hidden="false" customHeight="false" outlineLevel="0" collapsed="false"/>
    <row r="125" customFormat="false" ht="15.75" hidden="false" customHeight="false" outlineLevel="0" collapsed="false"/>
    <row r="126" customFormat="false" ht="15.75" hidden="false" customHeight="false" outlineLevel="0" collapsed="false"/>
    <row r="127" customFormat="false" ht="15.75" hidden="false" customHeight="false" outlineLevel="0" collapsed="false"/>
    <row r="128" customFormat="false" ht="15.75" hidden="false" customHeight="false" outlineLevel="0" collapsed="false"/>
    <row r="129" customFormat="false" ht="15.75" hidden="false" customHeight="false" outlineLevel="0" collapsed="false"/>
    <row r="130" customFormat="false" ht="15.75" hidden="false" customHeight="false" outlineLevel="0" collapsed="false"/>
    <row r="131" customFormat="false" ht="15.75" hidden="false" customHeight="false" outlineLevel="0" collapsed="false"/>
    <row r="132" customFormat="false" ht="15.75" hidden="false" customHeight="false" outlineLevel="0" collapsed="false"/>
    <row r="133" customFormat="false" ht="15.75" hidden="false" customHeight="false" outlineLevel="0" collapsed="false"/>
    <row r="134" customFormat="false" ht="15.75" hidden="false" customHeight="false" outlineLevel="0" collapsed="false"/>
    <row r="135" customFormat="false" ht="15.75" hidden="false" customHeight="false" outlineLevel="0" collapsed="false"/>
    <row r="136" customFormat="false" ht="15.75" hidden="false" customHeight="false" outlineLevel="0" collapsed="false"/>
    <row r="137" customFormat="false" ht="15.75" hidden="false" customHeight="false" outlineLevel="0" collapsed="false"/>
    <row r="138" customFormat="false" ht="15.75" hidden="false" customHeight="false" outlineLevel="0" collapsed="false"/>
    <row r="139" customFormat="false" ht="15.75" hidden="false" customHeight="false" outlineLevel="0" collapsed="false"/>
    <row r="140" customFormat="false" ht="15.75" hidden="false" customHeight="false" outlineLevel="0" collapsed="false"/>
    <row r="141" customFormat="false" ht="15.75" hidden="false" customHeight="false" outlineLevel="0" collapsed="false"/>
    <row r="142" customFormat="false" ht="15.75" hidden="false" customHeight="false" outlineLevel="0" collapsed="false"/>
    <row r="143" customFormat="false" ht="15.75" hidden="false" customHeight="false" outlineLevel="0" collapsed="false"/>
    <row r="144" customFormat="false" ht="15.75" hidden="false" customHeight="false" outlineLevel="0" collapsed="false"/>
    <row r="145" customFormat="false" ht="15.75" hidden="false" customHeight="false" outlineLevel="0" collapsed="false"/>
    <row r="146" customFormat="false" ht="15.75" hidden="false" customHeight="false" outlineLevel="0" collapsed="false"/>
    <row r="147" customFormat="false" ht="15.75" hidden="false" customHeight="false" outlineLevel="0" collapsed="false"/>
    <row r="148" customFormat="false" ht="15.75" hidden="false" customHeight="false" outlineLevel="0" collapsed="false"/>
    <row r="149" customFormat="false" ht="15.75" hidden="false" customHeight="false" outlineLevel="0" collapsed="false"/>
    <row r="150" customFormat="false" ht="15.75" hidden="false" customHeight="false" outlineLevel="0" collapsed="false"/>
    <row r="151" customFormat="false" ht="15.75" hidden="false" customHeight="false" outlineLevel="0" collapsed="false"/>
    <row r="152" customFormat="false" ht="15.75" hidden="false" customHeight="false" outlineLevel="0" collapsed="false"/>
    <row r="153" customFormat="false" ht="15.75" hidden="false" customHeight="false" outlineLevel="0" collapsed="false"/>
    <row r="154" customFormat="false" ht="15.75" hidden="false" customHeight="false" outlineLevel="0" collapsed="false"/>
    <row r="155" customFormat="false" ht="15.75" hidden="false" customHeight="false" outlineLevel="0" collapsed="false"/>
    <row r="156" customFormat="false" ht="15.75" hidden="false" customHeight="false" outlineLevel="0" collapsed="false"/>
    <row r="157" customFormat="false" ht="15.75" hidden="false" customHeight="false" outlineLevel="0" collapsed="false"/>
    <row r="158" customFormat="false" ht="15.75" hidden="false" customHeight="false" outlineLevel="0" collapsed="false"/>
    <row r="159" customFormat="false" ht="15.75" hidden="false" customHeight="false" outlineLevel="0" collapsed="false"/>
    <row r="160" customFormat="false" ht="15.75" hidden="false" customHeight="false" outlineLevel="0" collapsed="false"/>
    <row r="161" customFormat="false" ht="15.75" hidden="false" customHeight="false" outlineLevel="0" collapsed="false"/>
    <row r="162" customFormat="false" ht="15.75" hidden="false" customHeight="false" outlineLevel="0" collapsed="false"/>
    <row r="163" customFormat="false" ht="15.75" hidden="false" customHeight="false" outlineLevel="0" collapsed="false"/>
    <row r="164" customFormat="false" ht="15.75" hidden="false" customHeight="false" outlineLevel="0" collapsed="false"/>
    <row r="165" customFormat="false" ht="15.75" hidden="false" customHeight="false" outlineLevel="0" collapsed="false"/>
    <row r="166" customFormat="false" ht="15.75" hidden="false" customHeight="false" outlineLevel="0" collapsed="false"/>
    <row r="167" customFormat="false" ht="15.75" hidden="false" customHeight="false" outlineLevel="0" collapsed="false"/>
    <row r="168" customFormat="false" ht="15.75" hidden="false" customHeight="false" outlineLevel="0" collapsed="false"/>
    <row r="169" customFormat="false" ht="15.75" hidden="false" customHeight="false" outlineLevel="0" collapsed="false"/>
    <row r="170" customFormat="false" ht="15.75" hidden="false" customHeight="false" outlineLevel="0" collapsed="false"/>
    <row r="171" customFormat="false" ht="15.75" hidden="false" customHeight="false" outlineLevel="0" collapsed="false"/>
    <row r="172" customFormat="false" ht="15.75" hidden="false" customHeight="false" outlineLevel="0" collapsed="false"/>
    <row r="173" customFormat="false" ht="15.75" hidden="false" customHeight="false" outlineLevel="0" collapsed="false"/>
    <row r="174" customFormat="false" ht="15.75" hidden="false" customHeight="false" outlineLevel="0" collapsed="false"/>
    <row r="175" customFormat="false" ht="15.75" hidden="false" customHeight="false" outlineLevel="0" collapsed="false"/>
    <row r="176" customFormat="false" ht="15.75" hidden="false" customHeight="false" outlineLevel="0" collapsed="false"/>
    <row r="177" customFormat="false" ht="15.75" hidden="false" customHeight="false" outlineLevel="0" collapsed="false"/>
    <row r="178" customFormat="false" ht="15.75" hidden="false" customHeight="false" outlineLevel="0" collapsed="false"/>
    <row r="179" customFormat="false" ht="15.75" hidden="false" customHeight="false" outlineLevel="0" collapsed="false"/>
    <row r="180" customFormat="false" ht="15.75" hidden="false" customHeight="false" outlineLevel="0" collapsed="false"/>
    <row r="181" customFormat="false" ht="15.75" hidden="false" customHeight="false" outlineLevel="0" collapsed="false"/>
    <row r="182" customFormat="false" ht="15.75" hidden="false" customHeight="false" outlineLevel="0" collapsed="false"/>
    <row r="183" customFormat="false" ht="15.75" hidden="false" customHeight="false" outlineLevel="0" collapsed="false"/>
    <row r="184" customFormat="false" ht="15.75" hidden="false" customHeight="false" outlineLevel="0" collapsed="false"/>
    <row r="185" customFormat="false" ht="15.75" hidden="false" customHeight="false" outlineLevel="0" collapsed="false"/>
    <row r="186" customFormat="false" ht="15.75" hidden="false" customHeight="false" outlineLevel="0" collapsed="false"/>
    <row r="187" customFormat="false" ht="15.75" hidden="false" customHeight="false" outlineLevel="0" collapsed="false"/>
    <row r="188" customFormat="false" ht="15.75" hidden="false" customHeight="false" outlineLevel="0" collapsed="false"/>
    <row r="189" customFormat="false" ht="15.75" hidden="false" customHeight="false" outlineLevel="0" collapsed="false"/>
    <row r="190" customFormat="false" ht="15.75" hidden="false" customHeight="false" outlineLevel="0" collapsed="false"/>
    <row r="191" customFormat="false" ht="15.75" hidden="false" customHeight="false" outlineLevel="0" collapsed="false"/>
    <row r="192" customFormat="false" ht="15.75" hidden="false" customHeight="false" outlineLevel="0" collapsed="false"/>
    <row r="193" customFormat="false" ht="15.75" hidden="false" customHeight="false" outlineLevel="0" collapsed="false"/>
    <row r="194" customFormat="false" ht="15.75" hidden="false" customHeight="false" outlineLevel="0" collapsed="false"/>
    <row r="195" customFormat="false" ht="15.75" hidden="false" customHeight="false" outlineLevel="0" collapsed="false"/>
    <row r="196" customFormat="false" ht="15.75" hidden="false" customHeight="false" outlineLevel="0" collapsed="false"/>
    <row r="197" customFormat="false" ht="15.75" hidden="false" customHeight="false" outlineLevel="0" collapsed="false"/>
    <row r="198" customFormat="false" ht="15.75" hidden="false" customHeight="false" outlineLevel="0" collapsed="false"/>
    <row r="199" customFormat="false" ht="15.75" hidden="false" customHeight="false" outlineLevel="0" collapsed="false"/>
    <row r="200" customFormat="false" ht="15.75" hidden="false" customHeight="false" outlineLevel="0" collapsed="false"/>
    <row r="201" customFormat="false" ht="15.75" hidden="false" customHeight="false" outlineLevel="0" collapsed="false"/>
    <row r="202" customFormat="false" ht="15.75" hidden="false" customHeight="false" outlineLevel="0" collapsed="false"/>
    <row r="203" customFormat="false" ht="15.75" hidden="false" customHeight="false" outlineLevel="0" collapsed="false"/>
    <row r="204" customFormat="false" ht="15.75" hidden="false" customHeight="false" outlineLevel="0" collapsed="false"/>
    <row r="205" customFormat="false" ht="15.75" hidden="false" customHeight="false" outlineLevel="0" collapsed="false"/>
    <row r="206" customFormat="false" ht="15.75" hidden="false" customHeight="false" outlineLevel="0" collapsed="false"/>
    <row r="207" customFormat="false" ht="15.75" hidden="false" customHeight="false" outlineLevel="0" collapsed="false"/>
    <row r="208" customFormat="false" ht="15.75" hidden="false" customHeight="false" outlineLevel="0" collapsed="false"/>
    <row r="209" customFormat="false" ht="15.75" hidden="false" customHeight="false" outlineLevel="0" collapsed="false"/>
    <row r="210" customFormat="false" ht="15.75" hidden="false" customHeight="false" outlineLevel="0" collapsed="false"/>
    <row r="211" customFormat="false" ht="15.75" hidden="false" customHeight="false" outlineLevel="0" collapsed="false"/>
    <row r="212" customFormat="false" ht="15.75" hidden="false" customHeight="false" outlineLevel="0" collapsed="false"/>
    <row r="213" customFormat="false" ht="15.75" hidden="false" customHeight="false" outlineLevel="0" collapsed="false"/>
    <row r="214" customFormat="false" ht="15.75" hidden="false" customHeight="false" outlineLevel="0" collapsed="false"/>
    <row r="215" customFormat="false" ht="15.75" hidden="false" customHeight="false" outlineLevel="0" collapsed="false"/>
    <row r="216" customFormat="false" ht="15.75" hidden="false" customHeight="false" outlineLevel="0" collapsed="false"/>
    <row r="217" customFormat="false" ht="15.75" hidden="false" customHeight="false" outlineLevel="0" collapsed="false"/>
    <row r="218" customFormat="false" ht="15.75" hidden="false" customHeight="false" outlineLevel="0" collapsed="false"/>
    <row r="219" customFormat="false" ht="15.75" hidden="false" customHeight="false" outlineLevel="0" collapsed="false"/>
    <row r="220" customFormat="false" ht="15.75" hidden="false" customHeight="false" outlineLevel="0" collapsed="false"/>
    <row r="221" customFormat="false" ht="15.75" hidden="false" customHeight="false" outlineLevel="0" collapsed="false"/>
    <row r="222" customFormat="false" ht="15.75" hidden="false" customHeight="false" outlineLevel="0" collapsed="false"/>
    <row r="223" customFormat="false" ht="15.75" hidden="false" customHeight="false" outlineLevel="0" collapsed="false"/>
    <row r="224" customFormat="false" ht="15.75" hidden="false" customHeight="false" outlineLevel="0" collapsed="false"/>
    <row r="225" customFormat="false" ht="15.75" hidden="false" customHeight="false" outlineLevel="0" collapsed="false"/>
    <row r="226" customFormat="false" ht="15.75" hidden="false" customHeight="false" outlineLevel="0" collapsed="false"/>
    <row r="227" customFormat="false" ht="15.75" hidden="false" customHeight="false" outlineLevel="0" collapsed="false"/>
    <row r="228" customFormat="false" ht="15.75" hidden="false" customHeight="false" outlineLevel="0" collapsed="false"/>
    <row r="229" customFormat="false" ht="15.75" hidden="false" customHeight="false" outlineLevel="0" collapsed="false"/>
    <row r="230" customFormat="false" ht="15.75" hidden="false" customHeight="false" outlineLevel="0" collapsed="false"/>
    <row r="231" customFormat="false" ht="15.75" hidden="false" customHeight="false" outlineLevel="0" collapsed="false"/>
    <row r="232" customFormat="false" ht="15.75" hidden="false" customHeight="false" outlineLevel="0" collapsed="false"/>
    <row r="233" customFormat="false" ht="15.75" hidden="false" customHeight="false" outlineLevel="0" collapsed="false"/>
    <row r="234" customFormat="false" ht="15.75" hidden="false" customHeight="false" outlineLevel="0" collapsed="false"/>
    <row r="235" customFormat="false" ht="15.75" hidden="false" customHeight="false" outlineLevel="0" collapsed="false"/>
    <row r="236" customFormat="false" ht="15.75" hidden="false" customHeight="false" outlineLevel="0" collapsed="false"/>
    <row r="237" customFormat="false" ht="15.75" hidden="false" customHeight="false" outlineLevel="0" collapsed="false"/>
    <row r="238" customFormat="false" ht="15.75" hidden="false" customHeight="false" outlineLevel="0" collapsed="false"/>
    <row r="239" customFormat="false" ht="15.75" hidden="false" customHeight="false" outlineLevel="0" collapsed="false"/>
    <row r="240" customFormat="false" ht="15.75" hidden="false" customHeight="false" outlineLevel="0" collapsed="false"/>
    <row r="241" customFormat="false" ht="15.75" hidden="false" customHeight="false" outlineLevel="0" collapsed="false"/>
    <row r="242" customFormat="false" ht="15.75" hidden="false" customHeight="false" outlineLevel="0" collapsed="false"/>
    <row r="243" customFormat="false" ht="15.75" hidden="false" customHeight="false" outlineLevel="0" collapsed="false"/>
    <row r="244" customFormat="false" ht="15.75" hidden="false" customHeight="false" outlineLevel="0" collapsed="false"/>
    <row r="245" customFormat="false" ht="15.75" hidden="false" customHeight="false" outlineLevel="0" collapsed="false"/>
    <row r="246" customFormat="false" ht="15.75" hidden="false" customHeight="false" outlineLevel="0" collapsed="false"/>
    <row r="247" customFormat="false" ht="15.75" hidden="false" customHeight="false" outlineLevel="0" collapsed="false"/>
    <row r="248" customFormat="false" ht="15.75" hidden="false" customHeight="false" outlineLevel="0" collapsed="false"/>
    <row r="249" customFormat="false" ht="15.75" hidden="false" customHeight="false" outlineLevel="0" collapsed="false"/>
    <row r="250" customFormat="false" ht="15.75" hidden="false" customHeight="false" outlineLevel="0" collapsed="false"/>
    <row r="251" customFormat="false" ht="15.75" hidden="false" customHeight="false" outlineLevel="0" collapsed="false"/>
    <row r="252" customFormat="false" ht="15.75" hidden="false" customHeight="false" outlineLevel="0" collapsed="false"/>
    <row r="253" customFormat="false" ht="15.75" hidden="false" customHeight="false" outlineLevel="0" collapsed="false"/>
    <row r="254" customFormat="false" ht="15.75" hidden="false" customHeight="false" outlineLevel="0" collapsed="false"/>
    <row r="255" customFormat="false" ht="15.75" hidden="false" customHeight="false" outlineLevel="0" collapsed="false"/>
    <row r="256" customFormat="false" ht="15.75" hidden="false" customHeight="false" outlineLevel="0" collapsed="false"/>
    <row r="257" customFormat="false" ht="15.75" hidden="false" customHeight="false" outlineLevel="0" collapsed="false"/>
    <row r="258" customFormat="false" ht="15.75" hidden="false" customHeight="false" outlineLevel="0" collapsed="false"/>
    <row r="259" customFormat="false" ht="15.75" hidden="false" customHeight="false" outlineLevel="0" collapsed="false"/>
    <row r="260" customFormat="false" ht="15.75" hidden="false" customHeight="false" outlineLevel="0" collapsed="false"/>
    <row r="261" customFormat="false" ht="15.75" hidden="false" customHeight="false" outlineLevel="0" collapsed="false"/>
    <row r="262" customFormat="false" ht="15.75" hidden="false" customHeight="false" outlineLevel="0" collapsed="false"/>
    <row r="263" customFormat="false" ht="15.75" hidden="false" customHeight="false" outlineLevel="0" collapsed="false"/>
    <row r="264" customFormat="false" ht="15.75" hidden="false" customHeight="false" outlineLevel="0" collapsed="false"/>
    <row r="265" customFormat="false" ht="15.75" hidden="false" customHeight="false" outlineLevel="0" collapsed="false"/>
    <row r="266" customFormat="false" ht="15.75" hidden="false" customHeight="false" outlineLevel="0" collapsed="false"/>
    <row r="267" customFormat="false" ht="15.75" hidden="false" customHeight="false" outlineLevel="0" collapsed="false"/>
    <row r="268" customFormat="false" ht="15.75" hidden="false" customHeight="false" outlineLevel="0" collapsed="false"/>
    <row r="269" customFormat="false" ht="15.75" hidden="false" customHeight="false" outlineLevel="0" collapsed="false"/>
    <row r="270" customFormat="false" ht="15.75" hidden="false" customHeight="false" outlineLevel="0" collapsed="false"/>
    <row r="271" customFormat="false" ht="15.75" hidden="false" customHeight="false" outlineLevel="0" collapsed="false"/>
    <row r="272" customFormat="false" ht="15.75" hidden="false" customHeight="false" outlineLevel="0" collapsed="false"/>
    <row r="273" customFormat="false" ht="15.75" hidden="false" customHeight="false" outlineLevel="0" collapsed="false"/>
    <row r="274" customFormat="false" ht="15.75" hidden="false" customHeight="false" outlineLevel="0" collapsed="false"/>
    <row r="275" customFormat="false" ht="15.75" hidden="false" customHeight="false" outlineLevel="0" collapsed="false"/>
    <row r="276" customFormat="false" ht="15.75" hidden="false" customHeight="false" outlineLevel="0" collapsed="false"/>
    <row r="277" customFormat="false" ht="15.75" hidden="false" customHeight="false" outlineLevel="0" collapsed="false"/>
    <row r="278" customFormat="false" ht="15.75" hidden="false" customHeight="false" outlineLevel="0" collapsed="false"/>
    <row r="279" customFormat="false" ht="15.75" hidden="false" customHeight="false" outlineLevel="0" collapsed="false"/>
    <row r="280" customFormat="false" ht="15.75" hidden="false" customHeight="false" outlineLevel="0" collapsed="false"/>
    <row r="281" customFormat="false" ht="15.75" hidden="false" customHeight="false" outlineLevel="0" collapsed="false"/>
    <row r="282" customFormat="false" ht="15.75" hidden="false" customHeight="false" outlineLevel="0" collapsed="false"/>
    <row r="283" customFormat="false" ht="15.75" hidden="false" customHeight="false" outlineLevel="0" collapsed="false"/>
    <row r="284" customFormat="false" ht="15.75" hidden="false" customHeight="false" outlineLevel="0" collapsed="false"/>
    <row r="285" customFormat="false" ht="15.75" hidden="false" customHeight="false" outlineLevel="0" collapsed="false"/>
    <row r="286" customFormat="false" ht="15.75" hidden="false" customHeight="false" outlineLevel="0" collapsed="false"/>
    <row r="287" customFormat="false" ht="15.75" hidden="false" customHeight="false" outlineLevel="0" collapsed="false"/>
    <row r="288" customFormat="false" ht="15.75" hidden="false" customHeight="false" outlineLevel="0" collapsed="false"/>
    <row r="289" customFormat="false" ht="15.75" hidden="false" customHeight="false" outlineLevel="0" collapsed="false"/>
    <row r="290" customFormat="false" ht="15.75" hidden="false" customHeight="false" outlineLevel="0" collapsed="false"/>
    <row r="291" customFormat="false" ht="15.75" hidden="false" customHeight="false" outlineLevel="0" collapsed="false"/>
    <row r="292" customFormat="false" ht="15.75" hidden="false" customHeight="false" outlineLevel="0" collapsed="false"/>
    <row r="293" customFormat="false" ht="15.75" hidden="false" customHeight="false" outlineLevel="0" collapsed="false"/>
    <row r="294" customFormat="false" ht="15.75" hidden="false" customHeight="false" outlineLevel="0" collapsed="false"/>
    <row r="295" customFormat="false" ht="15.75" hidden="false" customHeight="false" outlineLevel="0" collapsed="false"/>
    <row r="296" customFormat="false" ht="15.75" hidden="false" customHeight="false" outlineLevel="0" collapsed="false"/>
    <row r="297" customFormat="false" ht="15.75" hidden="false" customHeight="false" outlineLevel="0" collapsed="false"/>
    <row r="298" customFormat="false" ht="15.75" hidden="false" customHeight="false" outlineLevel="0" collapsed="false"/>
    <row r="299" customFormat="false" ht="15.75" hidden="false" customHeight="false" outlineLevel="0" collapsed="false"/>
    <row r="300" customFormat="false" ht="15.75" hidden="false" customHeight="false" outlineLevel="0" collapsed="false"/>
    <row r="301" customFormat="false" ht="15.75" hidden="false" customHeight="false" outlineLevel="0" collapsed="false"/>
    <row r="302" customFormat="false" ht="15.75" hidden="false" customHeight="false" outlineLevel="0" collapsed="false"/>
    <row r="303" customFormat="false" ht="15.75" hidden="false" customHeight="false" outlineLevel="0" collapsed="false"/>
    <row r="304" customFormat="false" ht="15.75" hidden="false" customHeight="false" outlineLevel="0" collapsed="false"/>
    <row r="305" customFormat="false" ht="15.75" hidden="false" customHeight="false" outlineLevel="0" collapsed="false"/>
    <row r="306" customFormat="false" ht="15.75" hidden="false" customHeight="false" outlineLevel="0" collapsed="false"/>
    <row r="307" customFormat="false" ht="15.75" hidden="false" customHeight="false" outlineLevel="0" collapsed="false"/>
    <row r="308" customFormat="false" ht="15.75" hidden="false" customHeight="false" outlineLevel="0" collapsed="false"/>
    <row r="309" customFormat="false" ht="15.75" hidden="false" customHeight="false" outlineLevel="0" collapsed="false"/>
    <row r="310" customFormat="false" ht="15.75" hidden="false" customHeight="false" outlineLevel="0" collapsed="false"/>
    <row r="311" customFormat="false" ht="15.75" hidden="false" customHeight="false" outlineLevel="0" collapsed="false"/>
    <row r="312" customFormat="false" ht="15.75" hidden="false" customHeight="false" outlineLevel="0" collapsed="false"/>
    <row r="313" customFormat="false" ht="15.75" hidden="false" customHeight="false" outlineLevel="0" collapsed="false"/>
    <row r="314" customFormat="false" ht="15.75" hidden="false" customHeight="false" outlineLevel="0" collapsed="false"/>
    <row r="315" customFormat="false" ht="15.75" hidden="false" customHeight="false" outlineLevel="0" collapsed="false"/>
    <row r="316" customFormat="false" ht="15.75" hidden="false" customHeight="false" outlineLevel="0" collapsed="false"/>
    <row r="317" customFormat="false" ht="15.75" hidden="false" customHeight="false" outlineLevel="0" collapsed="false"/>
    <row r="318" customFormat="false" ht="15.75" hidden="false" customHeight="false" outlineLevel="0" collapsed="false"/>
    <row r="319" customFormat="false" ht="15.75" hidden="false" customHeight="false" outlineLevel="0" collapsed="false"/>
    <row r="320" customFormat="false" ht="15.75" hidden="false" customHeight="false" outlineLevel="0" collapsed="false"/>
    <row r="321" customFormat="false" ht="15.75" hidden="false" customHeight="false" outlineLevel="0" collapsed="false"/>
    <row r="322" customFormat="false" ht="15.75" hidden="false" customHeight="false" outlineLevel="0" collapsed="false"/>
    <row r="323" customFormat="false" ht="15.75" hidden="false" customHeight="false" outlineLevel="0" collapsed="false"/>
    <row r="324" customFormat="false" ht="15.75" hidden="false" customHeight="false" outlineLevel="0" collapsed="false"/>
    <row r="325" customFormat="false" ht="15.75" hidden="false" customHeight="false" outlineLevel="0" collapsed="false"/>
    <row r="326" customFormat="false" ht="15.75" hidden="false" customHeight="false" outlineLevel="0" collapsed="false"/>
    <row r="327" customFormat="false" ht="15.75" hidden="false" customHeight="false" outlineLevel="0" collapsed="false"/>
    <row r="328" customFormat="false" ht="15.75" hidden="false" customHeight="false" outlineLevel="0" collapsed="false"/>
    <row r="329" customFormat="false" ht="15.75" hidden="false" customHeight="false" outlineLevel="0" collapsed="false"/>
    <row r="330" customFormat="false" ht="15.75" hidden="false" customHeight="false" outlineLevel="0" collapsed="false"/>
    <row r="331" customFormat="false" ht="15.75" hidden="false" customHeight="false" outlineLevel="0" collapsed="false"/>
    <row r="332" customFormat="false" ht="15.75" hidden="false" customHeight="false" outlineLevel="0" collapsed="false"/>
    <row r="333" customFormat="false" ht="15.75" hidden="false" customHeight="false" outlineLevel="0" collapsed="false"/>
    <row r="334" customFormat="false" ht="15.75" hidden="false" customHeight="false" outlineLevel="0" collapsed="false"/>
    <row r="335" customFormat="false" ht="15.75" hidden="false" customHeight="false" outlineLevel="0" collapsed="false"/>
    <row r="336" customFormat="false" ht="15.75" hidden="false" customHeight="false" outlineLevel="0" collapsed="false"/>
    <row r="337" customFormat="false" ht="15.75" hidden="false" customHeight="false" outlineLevel="0" collapsed="false"/>
    <row r="338" customFormat="false" ht="15.75" hidden="false" customHeight="false" outlineLevel="0" collapsed="false"/>
    <row r="339" customFormat="false" ht="15.75" hidden="false" customHeight="false" outlineLevel="0" collapsed="false"/>
    <row r="340" customFormat="false" ht="15.75" hidden="false" customHeight="false" outlineLevel="0" collapsed="false"/>
    <row r="341" customFormat="false" ht="15.75" hidden="false" customHeight="false" outlineLevel="0" collapsed="false"/>
    <row r="342" customFormat="false" ht="15.75" hidden="false" customHeight="false" outlineLevel="0" collapsed="false"/>
    <row r="343" customFormat="false" ht="15.75" hidden="false" customHeight="false" outlineLevel="0" collapsed="false"/>
    <row r="344" customFormat="false" ht="15.75" hidden="false" customHeight="false" outlineLevel="0" collapsed="false"/>
    <row r="345" customFormat="false" ht="15.75" hidden="false" customHeight="false" outlineLevel="0" collapsed="false"/>
    <row r="346" customFormat="false" ht="15.75" hidden="false" customHeight="false" outlineLevel="0" collapsed="false"/>
    <row r="347" customFormat="false" ht="15.75" hidden="false" customHeight="false" outlineLevel="0" collapsed="false"/>
    <row r="348" customFormat="false" ht="15.75" hidden="false" customHeight="false" outlineLevel="0" collapsed="false"/>
    <row r="349" customFormat="false" ht="15.75" hidden="false" customHeight="false" outlineLevel="0" collapsed="false"/>
    <row r="350" customFormat="false" ht="15.75" hidden="false" customHeight="false" outlineLevel="0" collapsed="false"/>
    <row r="351" customFormat="false" ht="15.75" hidden="false" customHeight="false" outlineLevel="0" collapsed="false"/>
    <row r="352" customFormat="false" ht="15.75" hidden="false" customHeight="false" outlineLevel="0" collapsed="false"/>
    <row r="353" customFormat="false" ht="15.75" hidden="false" customHeight="false" outlineLevel="0" collapsed="false"/>
    <row r="354" customFormat="false" ht="15.75" hidden="false" customHeight="false" outlineLevel="0" collapsed="false"/>
    <row r="355" customFormat="false" ht="15.75" hidden="false" customHeight="false" outlineLevel="0" collapsed="false"/>
    <row r="356" customFormat="false" ht="15.75" hidden="false" customHeight="false" outlineLevel="0" collapsed="false"/>
    <row r="357" customFormat="false" ht="15.75" hidden="false" customHeight="false" outlineLevel="0" collapsed="false"/>
    <row r="358" customFormat="false" ht="15.75" hidden="false" customHeight="false" outlineLevel="0" collapsed="false"/>
    <row r="359" customFormat="false" ht="15.75" hidden="false" customHeight="false" outlineLevel="0" collapsed="false"/>
    <row r="360" customFormat="false" ht="15.75" hidden="false" customHeight="false" outlineLevel="0" collapsed="false"/>
    <row r="361" customFormat="false" ht="15.75" hidden="false" customHeight="false" outlineLevel="0" collapsed="false"/>
    <row r="362" customFormat="false" ht="15.75" hidden="false" customHeight="false" outlineLevel="0" collapsed="false"/>
    <row r="363" customFormat="false" ht="15.75" hidden="false" customHeight="false" outlineLevel="0" collapsed="false"/>
    <row r="364" customFormat="false" ht="15.75" hidden="false" customHeight="false" outlineLevel="0" collapsed="false"/>
    <row r="365" customFormat="false" ht="15.75" hidden="false" customHeight="false" outlineLevel="0" collapsed="false"/>
    <row r="366" customFormat="false" ht="15.75" hidden="false" customHeight="false" outlineLevel="0" collapsed="false"/>
    <row r="367" customFormat="false" ht="15.75" hidden="false" customHeight="false" outlineLevel="0" collapsed="false"/>
    <row r="368" customFormat="false" ht="15.75" hidden="false" customHeight="false" outlineLevel="0" collapsed="false"/>
    <row r="369" customFormat="false" ht="15.75" hidden="false" customHeight="false" outlineLevel="0" collapsed="false"/>
    <row r="370" customFormat="false" ht="15.75" hidden="false" customHeight="false" outlineLevel="0" collapsed="false"/>
    <row r="371" customFormat="false" ht="15.75" hidden="false" customHeight="false" outlineLevel="0" collapsed="false"/>
    <row r="372" customFormat="false" ht="15.75" hidden="false" customHeight="false" outlineLevel="0" collapsed="false"/>
    <row r="373" customFormat="false" ht="15.75" hidden="false" customHeight="false" outlineLevel="0" collapsed="false"/>
    <row r="374" customFormat="false" ht="15.75" hidden="false" customHeight="false" outlineLevel="0" collapsed="false"/>
    <row r="375" customFormat="false" ht="15.75" hidden="false" customHeight="false" outlineLevel="0" collapsed="false"/>
    <row r="376" customFormat="false" ht="15.75" hidden="false" customHeight="false" outlineLevel="0" collapsed="false"/>
    <row r="377" customFormat="false" ht="15.75" hidden="false" customHeight="false" outlineLevel="0" collapsed="false"/>
    <row r="378" customFormat="false" ht="15.75" hidden="false" customHeight="false" outlineLevel="0" collapsed="false"/>
    <row r="379" customFormat="false" ht="15.75" hidden="false" customHeight="false" outlineLevel="0" collapsed="false"/>
    <row r="380" customFormat="false" ht="15.75" hidden="false" customHeight="false" outlineLevel="0" collapsed="false"/>
    <row r="381" customFormat="false" ht="15.75" hidden="false" customHeight="false" outlineLevel="0" collapsed="false"/>
    <row r="382" customFormat="false" ht="15.75" hidden="false" customHeight="false" outlineLevel="0" collapsed="false"/>
    <row r="383" customFormat="false" ht="15.75" hidden="false" customHeight="false" outlineLevel="0" collapsed="false"/>
    <row r="384" customFormat="false" ht="15.75" hidden="false" customHeight="false" outlineLevel="0" collapsed="false"/>
    <row r="385" customFormat="false" ht="15.75" hidden="false" customHeight="false" outlineLevel="0" collapsed="false"/>
    <row r="386" customFormat="false" ht="15.75" hidden="false" customHeight="false" outlineLevel="0" collapsed="false"/>
    <row r="387" customFormat="false" ht="15.75" hidden="false" customHeight="false" outlineLevel="0" collapsed="false"/>
    <row r="388" customFormat="false" ht="15.75" hidden="false" customHeight="false" outlineLevel="0" collapsed="false"/>
    <row r="389" customFormat="false" ht="15.75" hidden="false" customHeight="false" outlineLevel="0" collapsed="false"/>
    <row r="390" customFormat="false" ht="15.75" hidden="false" customHeight="false" outlineLevel="0" collapsed="false"/>
    <row r="391" customFormat="false" ht="15.75" hidden="false" customHeight="false" outlineLevel="0" collapsed="false"/>
    <row r="392" customFormat="false" ht="15.75" hidden="false" customHeight="false" outlineLevel="0" collapsed="false"/>
    <row r="393" customFormat="false" ht="15.75" hidden="false" customHeight="false" outlineLevel="0" collapsed="false"/>
    <row r="394" customFormat="false" ht="15.75" hidden="false" customHeight="false" outlineLevel="0" collapsed="false"/>
    <row r="395" customFormat="false" ht="15.75" hidden="false" customHeight="false" outlineLevel="0" collapsed="false"/>
    <row r="396" customFormat="false" ht="15.75" hidden="false" customHeight="false" outlineLevel="0" collapsed="false"/>
    <row r="397" customFormat="false" ht="15.75" hidden="false" customHeight="false" outlineLevel="0" collapsed="false"/>
    <row r="398" customFormat="false" ht="15.75" hidden="false" customHeight="false" outlineLevel="0" collapsed="false"/>
    <row r="399" customFormat="false" ht="15.75" hidden="false" customHeight="false" outlineLevel="0" collapsed="false"/>
    <row r="400" customFormat="false" ht="15.75" hidden="false" customHeight="false" outlineLevel="0" collapsed="false"/>
    <row r="401" customFormat="false" ht="15.75" hidden="false" customHeight="false" outlineLevel="0" collapsed="false"/>
    <row r="402" customFormat="false" ht="15.75" hidden="false" customHeight="false" outlineLevel="0" collapsed="false"/>
    <row r="403" customFormat="false" ht="15.75" hidden="false" customHeight="false" outlineLevel="0" collapsed="false"/>
    <row r="404" customFormat="false" ht="15.75" hidden="false" customHeight="false" outlineLevel="0" collapsed="false"/>
    <row r="405" customFormat="false" ht="15.75" hidden="false" customHeight="false" outlineLevel="0" collapsed="false"/>
    <row r="406" customFormat="false" ht="15.75" hidden="false" customHeight="false" outlineLevel="0" collapsed="false"/>
    <row r="407" customFormat="false" ht="15.75" hidden="false" customHeight="false" outlineLevel="0" collapsed="false"/>
    <row r="408" customFormat="false" ht="15.75" hidden="false" customHeight="false" outlineLevel="0" collapsed="false"/>
    <row r="409" customFormat="false" ht="15.75" hidden="false" customHeight="false" outlineLevel="0" collapsed="false"/>
    <row r="410" customFormat="false" ht="15.75" hidden="false" customHeight="false" outlineLevel="0" collapsed="false"/>
    <row r="411" customFormat="false" ht="15.75" hidden="false" customHeight="false" outlineLevel="0" collapsed="false"/>
    <row r="412" customFormat="false" ht="15.75" hidden="false" customHeight="false" outlineLevel="0" collapsed="false"/>
    <row r="413" customFormat="false" ht="15.75" hidden="false" customHeight="false" outlineLevel="0" collapsed="false"/>
    <row r="414" customFormat="false" ht="15.75" hidden="false" customHeight="false" outlineLevel="0" collapsed="false"/>
    <row r="415" customFormat="false" ht="15.75" hidden="false" customHeight="false" outlineLevel="0" collapsed="false"/>
    <row r="416" customFormat="false" ht="15.75" hidden="false" customHeight="false" outlineLevel="0" collapsed="false"/>
    <row r="417" customFormat="false" ht="15.75" hidden="false" customHeight="false" outlineLevel="0" collapsed="false"/>
    <row r="418" customFormat="false" ht="15.75" hidden="false" customHeight="false" outlineLevel="0" collapsed="false"/>
    <row r="419" customFormat="false" ht="15.75" hidden="false" customHeight="false" outlineLevel="0" collapsed="false"/>
    <row r="420" customFormat="false" ht="15.75" hidden="false" customHeight="false" outlineLevel="0" collapsed="false"/>
    <row r="421" customFormat="false" ht="15.75" hidden="false" customHeight="false" outlineLevel="0" collapsed="false"/>
    <row r="422" customFormat="false" ht="15.75" hidden="false" customHeight="false" outlineLevel="0" collapsed="false"/>
    <row r="423" customFormat="false" ht="15.75" hidden="false" customHeight="false" outlineLevel="0" collapsed="false"/>
    <row r="424" customFormat="false" ht="15.75" hidden="false" customHeight="false" outlineLevel="0" collapsed="false"/>
    <row r="425" customFormat="false" ht="15.75" hidden="false" customHeight="false" outlineLevel="0" collapsed="false"/>
    <row r="426" customFormat="false" ht="15.75" hidden="false" customHeight="false" outlineLevel="0" collapsed="false"/>
    <row r="427" customFormat="false" ht="15.75" hidden="false" customHeight="false" outlineLevel="0" collapsed="false"/>
    <row r="428" customFormat="false" ht="15.75" hidden="false" customHeight="false" outlineLevel="0" collapsed="false"/>
    <row r="429" customFormat="false" ht="15.75" hidden="false" customHeight="false" outlineLevel="0" collapsed="false"/>
    <row r="430" customFormat="false" ht="15.75" hidden="false" customHeight="false" outlineLevel="0" collapsed="false"/>
    <row r="431" customFormat="false" ht="15.75" hidden="false" customHeight="false" outlineLevel="0" collapsed="false"/>
    <row r="432" customFormat="false" ht="15.75" hidden="false" customHeight="false" outlineLevel="0" collapsed="false"/>
    <row r="433" customFormat="false" ht="15.75" hidden="false" customHeight="false" outlineLevel="0" collapsed="false"/>
    <row r="434" customFormat="false" ht="15.75" hidden="false" customHeight="false" outlineLevel="0" collapsed="false"/>
    <row r="435" customFormat="false" ht="15.75" hidden="false" customHeight="false" outlineLevel="0" collapsed="false"/>
    <row r="436" customFormat="false" ht="15.75" hidden="false" customHeight="false" outlineLevel="0" collapsed="false"/>
    <row r="437" customFormat="false" ht="15.75" hidden="false" customHeight="false" outlineLevel="0" collapsed="false"/>
    <row r="438" customFormat="false" ht="15.75" hidden="false" customHeight="false" outlineLevel="0" collapsed="false"/>
    <row r="439" customFormat="false" ht="15.75" hidden="false" customHeight="false" outlineLevel="0" collapsed="false"/>
    <row r="440" customFormat="false" ht="15.75" hidden="false" customHeight="false" outlineLevel="0" collapsed="false"/>
    <row r="441" customFormat="false" ht="15.75" hidden="false" customHeight="false" outlineLevel="0" collapsed="false"/>
    <row r="442" customFormat="false" ht="15.75" hidden="false" customHeight="false" outlineLevel="0" collapsed="false"/>
    <row r="443" customFormat="false" ht="15.75" hidden="false" customHeight="false" outlineLevel="0" collapsed="false"/>
    <row r="444" customFormat="false" ht="15.75" hidden="false" customHeight="false" outlineLevel="0" collapsed="false"/>
    <row r="445" customFormat="false" ht="15.75" hidden="false" customHeight="false" outlineLevel="0" collapsed="false"/>
    <row r="446" customFormat="false" ht="15.75" hidden="false" customHeight="false" outlineLevel="0" collapsed="false"/>
    <row r="447" customFormat="false" ht="15.75" hidden="false" customHeight="false" outlineLevel="0" collapsed="false"/>
    <row r="448" customFormat="false" ht="15.75" hidden="false" customHeight="false" outlineLevel="0" collapsed="false"/>
    <row r="449" customFormat="false" ht="15.75" hidden="false" customHeight="false" outlineLevel="0" collapsed="false"/>
    <row r="450" customFormat="false" ht="15.75" hidden="false" customHeight="false" outlineLevel="0" collapsed="false"/>
    <row r="451" customFormat="false" ht="15.75" hidden="false" customHeight="false" outlineLevel="0" collapsed="false"/>
    <row r="452" customFormat="false" ht="15.75" hidden="false" customHeight="false" outlineLevel="0" collapsed="false"/>
    <row r="453" customFormat="false" ht="15.75" hidden="false" customHeight="false" outlineLevel="0" collapsed="false"/>
    <row r="454" customFormat="false" ht="15.75" hidden="false" customHeight="false" outlineLevel="0" collapsed="false"/>
    <row r="455" customFormat="false" ht="15.75" hidden="false" customHeight="false" outlineLevel="0" collapsed="false"/>
    <row r="456" customFormat="false" ht="15.75" hidden="false" customHeight="false" outlineLevel="0" collapsed="false"/>
    <row r="457" customFormat="false" ht="15.75" hidden="false" customHeight="false" outlineLevel="0" collapsed="false"/>
    <row r="458" customFormat="false" ht="15.75" hidden="false" customHeight="false" outlineLevel="0" collapsed="false"/>
    <row r="459" customFormat="false" ht="15.75" hidden="false" customHeight="false" outlineLevel="0" collapsed="false"/>
    <row r="460" customFormat="false" ht="15.75" hidden="false" customHeight="false" outlineLevel="0" collapsed="false"/>
    <row r="461" customFormat="false" ht="15.75" hidden="false" customHeight="false" outlineLevel="0" collapsed="false"/>
    <row r="462" customFormat="false" ht="15.75" hidden="false" customHeight="false" outlineLevel="0" collapsed="false"/>
    <row r="463" customFormat="false" ht="15.75" hidden="false" customHeight="false" outlineLevel="0" collapsed="false"/>
    <row r="464" customFormat="false" ht="15.75" hidden="false" customHeight="false" outlineLevel="0" collapsed="false"/>
    <row r="465" customFormat="false" ht="15.75" hidden="false" customHeight="false" outlineLevel="0" collapsed="false"/>
    <row r="466" customFormat="false" ht="15.75" hidden="false" customHeight="false" outlineLevel="0" collapsed="false"/>
    <row r="467" customFormat="false" ht="15.75" hidden="false" customHeight="false" outlineLevel="0" collapsed="false"/>
    <row r="468" customFormat="false" ht="15.75" hidden="false" customHeight="false" outlineLevel="0" collapsed="false"/>
    <row r="469" customFormat="false" ht="15.75" hidden="false" customHeight="false" outlineLevel="0" collapsed="false"/>
    <row r="470" customFormat="false" ht="15.75" hidden="false" customHeight="false" outlineLevel="0" collapsed="false"/>
    <row r="471" customFormat="false" ht="15.75" hidden="false" customHeight="false" outlineLevel="0" collapsed="false"/>
    <row r="472" customFormat="false" ht="15.75" hidden="false" customHeight="false" outlineLevel="0" collapsed="false"/>
    <row r="473" customFormat="false" ht="15.75" hidden="false" customHeight="false" outlineLevel="0" collapsed="false"/>
    <row r="474" customFormat="false" ht="15.75" hidden="false" customHeight="false" outlineLevel="0" collapsed="false"/>
    <row r="475" customFormat="false" ht="15.75" hidden="false" customHeight="false" outlineLevel="0" collapsed="false"/>
    <row r="476" customFormat="false" ht="15.75" hidden="false" customHeight="false" outlineLevel="0" collapsed="false"/>
    <row r="477" customFormat="false" ht="15.75" hidden="false" customHeight="false" outlineLevel="0" collapsed="false"/>
    <row r="478" customFormat="false" ht="15.75" hidden="false" customHeight="false" outlineLevel="0" collapsed="false"/>
    <row r="479" customFormat="false" ht="15.75" hidden="false" customHeight="false" outlineLevel="0" collapsed="false"/>
    <row r="480" customFormat="false" ht="15.75" hidden="false" customHeight="false" outlineLevel="0" collapsed="false"/>
    <row r="481" customFormat="false" ht="15.75" hidden="false" customHeight="false" outlineLevel="0" collapsed="false"/>
    <row r="482" customFormat="false" ht="15.75" hidden="false" customHeight="false" outlineLevel="0" collapsed="false"/>
    <row r="483" customFormat="false" ht="15.75" hidden="false" customHeight="false" outlineLevel="0" collapsed="false"/>
    <row r="484" customFormat="false" ht="15.75" hidden="false" customHeight="false" outlineLevel="0" collapsed="false"/>
    <row r="485" customFormat="false" ht="15.75" hidden="false" customHeight="false" outlineLevel="0" collapsed="false"/>
    <row r="486" customFormat="false" ht="15.75" hidden="false" customHeight="false" outlineLevel="0" collapsed="false"/>
    <row r="487" customFormat="false" ht="15.75" hidden="false" customHeight="false" outlineLevel="0" collapsed="false"/>
    <row r="488" customFormat="false" ht="15.75" hidden="false" customHeight="false" outlineLevel="0" collapsed="false"/>
    <row r="489" customFormat="false" ht="15.75" hidden="false" customHeight="false" outlineLevel="0" collapsed="false"/>
    <row r="490" customFormat="false" ht="15.75" hidden="false" customHeight="false" outlineLevel="0" collapsed="false"/>
    <row r="491" customFormat="false" ht="15.75" hidden="false" customHeight="false" outlineLevel="0" collapsed="false"/>
    <row r="492" customFormat="false" ht="15.75" hidden="false" customHeight="false" outlineLevel="0" collapsed="false"/>
    <row r="493" customFormat="false" ht="15.75" hidden="false" customHeight="false" outlineLevel="0" collapsed="false"/>
    <row r="494" customFormat="false" ht="15.75" hidden="false" customHeight="false" outlineLevel="0" collapsed="false"/>
    <row r="495" customFormat="false" ht="15.75" hidden="false" customHeight="false" outlineLevel="0" collapsed="false"/>
    <row r="496" customFormat="false" ht="15.75" hidden="false" customHeight="false" outlineLevel="0" collapsed="false"/>
    <row r="497" customFormat="false" ht="15.75" hidden="false" customHeight="false" outlineLevel="0" collapsed="false"/>
    <row r="498" customFormat="false" ht="15.75" hidden="false" customHeight="false" outlineLevel="0" collapsed="false"/>
    <row r="499" customFormat="false" ht="15.75" hidden="false" customHeight="false" outlineLevel="0" collapsed="false"/>
    <row r="500" customFormat="false" ht="15.75" hidden="false" customHeight="false" outlineLevel="0" collapsed="false"/>
    <row r="501" customFormat="false" ht="15.75" hidden="false" customHeight="false" outlineLevel="0" collapsed="false"/>
    <row r="502" customFormat="false" ht="15.75" hidden="false" customHeight="false" outlineLevel="0" collapsed="false"/>
    <row r="503" customFormat="false" ht="15.75" hidden="false" customHeight="false" outlineLevel="0" collapsed="false"/>
    <row r="504" customFormat="false" ht="15.75" hidden="false" customHeight="false" outlineLevel="0" collapsed="false"/>
    <row r="505" customFormat="false" ht="15.75" hidden="false" customHeight="false" outlineLevel="0" collapsed="false"/>
    <row r="506" customFormat="false" ht="15.75" hidden="false" customHeight="false" outlineLevel="0" collapsed="false"/>
    <row r="507" customFormat="false" ht="15.75" hidden="false" customHeight="false" outlineLevel="0" collapsed="false"/>
    <row r="508" customFormat="false" ht="15.75" hidden="false" customHeight="false" outlineLevel="0" collapsed="false"/>
    <row r="509" customFormat="false" ht="15.75" hidden="false" customHeight="false" outlineLevel="0" collapsed="false"/>
    <row r="510" customFormat="false" ht="15.75" hidden="false" customHeight="false" outlineLevel="0" collapsed="false"/>
    <row r="511" customFormat="false" ht="15.75" hidden="false" customHeight="false" outlineLevel="0" collapsed="false"/>
    <row r="512" customFormat="false" ht="15.75" hidden="false" customHeight="false" outlineLevel="0" collapsed="false"/>
    <row r="513" customFormat="false" ht="15.75" hidden="false" customHeight="false" outlineLevel="0" collapsed="false"/>
    <row r="514" customFormat="false" ht="15.75" hidden="false" customHeight="false" outlineLevel="0" collapsed="false"/>
    <row r="515" customFormat="false" ht="15.75" hidden="false" customHeight="false" outlineLevel="0" collapsed="false"/>
    <row r="516" customFormat="false" ht="15.75" hidden="false" customHeight="false" outlineLevel="0" collapsed="false"/>
    <row r="517" customFormat="false" ht="15.75" hidden="false" customHeight="false" outlineLevel="0" collapsed="false"/>
    <row r="518" customFormat="false" ht="15.75" hidden="false" customHeight="false" outlineLevel="0" collapsed="false"/>
    <row r="519" customFormat="false" ht="15.75" hidden="false" customHeight="false" outlineLevel="0" collapsed="false"/>
    <row r="520" customFormat="false" ht="15.75" hidden="false" customHeight="false" outlineLevel="0" collapsed="false"/>
    <row r="521" customFormat="false" ht="15.75" hidden="false" customHeight="false" outlineLevel="0" collapsed="false"/>
    <row r="522" customFormat="false" ht="15.75" hidden="false" customHeight="false" outlineLevel="0" collapsed="false"/>
    <row r="523" customFormat="false" ht="15.75" hidden="false" customHeight="false" outlineLevel="0" collapsed="false"/>
    <row r="524" customFormat="false" ht="15.75" hidden="false" customHeight="false" outlineLevel="0" collapsed="false"/>
    <row r="525" customFormat="false" ht="15.75" hidden="false" customHeight="false" outlineLevel="0" collapsed="false"/>
    <row r="526" customFormat="false" ht="15.75" hidden="false" customHeight="false" outlineLevel="0" collapsed="false"/>
    <row r="527" customFormat="false" ht="15.75" hidden="false" customHeight="false" outlineLevel="0" collapsed="false"/>
    <row r="528" customFormat="false" ht="15.75" hidden="false" customHeight="false" outlineLevel="0" collapsed="false"/>
    <row r="529" customFormat="false" ht="15.75" hidden="false" customHeight="false" outlineLevel="0" collapsed="false"/>
    <row r="530" customFormat="false" ht="15.75" hidden="false" customHeight="false" outlineLevel="0" collapsed="false"/>
    <row r="531" customFormat="false" ht="15.75" hidden="false" customHeight="false" outlineLevel="0" collapsed="false"/>
    <row r="532" customFormat="false" ht="15.75" hidden="false" customHeight="false" outlineLevel="0" collapsed="false"/>
    <row r="533" customFormat="false" ht="15.75" hidden="false" customHeight="false" outlineLevel="0" collapsed="false"/>
    <row r="534" customFormat="false" ht="15.75" hidden="false" customHeight="false" outlineLevel="0" collapsed="false"/>
    <row r="535" customFormat="false" ht="15.75" hidden="false" customHeight="false" outlineLevel="0" collapsed="false"/>
    <row r="536" customFormat="false" ht="15.75" hidden="false" customHeight="false" outlineLevel="0" collapsed="false"/>
    <row r="537" customFormat="false" ht="15.75" hidden="false" customHeight="false" outlineLevel="0" collapsed="false"/>
    <row r="538" customFormat="false" ht="15.75" hidden="false" customHeight="false" outlineLevel="0" collapsed="false"/>
    <row r="539" customFormat="false" ht="15.75" hidden="false" customHeight="false" outlineLevel="0" collapsed="false"/>
    <row r="540" customFormat="false" ht="15.75" hidden="false" customHeight="false" outlineLevel="0" collapsed="false"/>
    <row r="541" customFormat="false" ht="15.75" hidden="false" customHeight="false" outlineLevel="0" collapsed="false"/>
    <row r="542" customFormat="false" ht="15.75" hidden="false" customHeight="false" outlineLevel="0" collapsed="false"/>
    <row r="543" customFormat="false" ht="15.75" hidden="false" customHeight="false" outlineLevel="0" collapsed="false"/>
    <row r="544" customFormat="false" ht="15.75" hidden="false" customHeight="false" outlineLevel="0" collapsed="false"/>
    <row r="545" customFormat="false" ht="15.75" hidden="false" customHeight="false" outlineLevel="0" collapsed="false"/>
    <row r="546" customFormat="false" ht="15.75" hidden="false" customHeight="false" outlineLevel="0" collapsed="false"/>
    <row r="547" customFormat="false" ht="15.75" hidden="false" customHeight="false" outlineLevel="0" collapsed="false"/>
    <row r="548" customFormat="false" ht="15.75" hidden="false" customHeight="false" outlineLevel="0" collapsed="false"/>
    <row r="549" customFormat="false" ht="15.75" hidden="false" customHeight="false" outlineLevel="0" collapsed="false"/>
    <row r="550" customFormat="false" ht="15.75" hidden="false" customHeight="false" outlineLevel="0" collapsed="false"/>
    <row r="551" customFormat="false" ht="15.75" hidden="false" customHeight="false" outlineLevel="0" collapsed="false"/>
    <row r="552" customFormat="false" ht="15.75" hidden="false" customHeight="false" outlineLevel="0" collapsed="false"/>
    <row r="553" customFormat="false" ht="15.75" hidden="false" customHeight="false" outlineLevel="0" collapsed="false"/>
    <row r="554" customFormat="false" ht="15.75" hidden="false" customHeight="false" outlineLevel="0" collapsed="false"/>
    <row r="555" customFormat="false" ht="15.75" hidden="false" customHeight="false" outlineLevel="0" collapsed="false"/>
    <row r="556" customFormat="false" ht="15.75" hidden="false" customHeight="false" outlineLevel="0" collapsed="false"/>
    <row r="557" customFormat="false" ht="15.75" hidden="false" customHeight="false" outlineLevel="0" collapsed="false"/>
    <row r="558" customFormat="false" ht="15.75" hidden="false" customHeight="false" outlineLevel="0" collapsed="false"/>
    <row r="559" customFormat="false" ht="15.75" hidden="false" customHeight="false" outlineLevel="0" collapsed="false"/>
    <row r="560" customFormat="false" ht="15.75" hidden="false" customHeight="false" outlineLevel="0" collapsed="false"/>
    <row r="561" customFormat="false" ht="15.75" hidden="false" customHeight="false" outlineLevel="0" collapsed="false"/>
    <row r="562" customFormat="false" ht="15.75" hidden="false" customHeight="false" outlineLevel="0" collapsed="false"/>
    <row r="563" customFormat="false" ht="15.75" hidden="false" customHeight="false" outlineLevel="0" collapsed="false"/>
    <row r="564" customFormat="false" ht="15.75" hidden="false" customHeight="false" outlineLevel="0" collapsed="false"/>
    <row r="565" customFormat="false" ht="15.75" hidden="false" customHeight="false" outlineLevel="0" collapsed="false"/>
    <row r="566" customFormat="false" ht="15.75" hidden="false" customHeight="false" outlineLevel="0" collapsed="false"/>
    <row r="567" customFormat="false" ht="15.75" hidden="false" customHeight="false" outlineLevel="0" collapsed="false"/>
    <row r="568" customFormat="false" ht="15.75" hidden="false" customHeight="false" outlineLevel="0" collapsed="false"/>
    <row r="569" customFormat="false" ht="15.75" hidden="false" customHeight="false" outlineLevel="0" collapsed="false"/>
    <row r="570" customFormat="false" ht="15.75" hidden="false" customHeight="false" outlineLevel="0" collapsed="false"/>
    <row r="571" customFormat="false" ht="15.75" hidden="false" customHeight="false" outlineLevel="0" collapsed="false"/>
    <row r="572" customFormat="false" ht="15.75" hidden="false" customHeight="false" outlineLevel="0" collapsed="false"/>
    <row r="573" customFormat="false" ht="15.75" hidden="false" customHeight="false" outlineLevel="0" collapsed="false"/>
    <row r="574" customFormat="false" ht="15.75" hidden="false" customHeight="false" outlineLevel="0" collapsed="false"/>
    <row r="575" customFormat="false" ht="15.75" hidden="false" customHeight="false" outlineLevel="0" collapsed="false"/>
    <row r="576" customFormat="false" ht="15.75" hidden="false" customHeight="false" outlineLevel="0" collapsed="false"/>
    <row r="577" customFormat="false" ht="15.75" hidden="false" customHeight="false" outlineLevel="0" collapsed="false"/>
    <row r="578" customFormat="false" ht="15.75" hidden="false" customHeight="false" outlineLevel="0" collapsed="false"/>
    <row r="579" customFormat="false" ht="15.75" hidden="false" customHeight="false" outlineLevel="0" collapsed="false"/>
    <row r="580" customFormat="false" ht="15.75" hidden="false" customHeight="false" outlineLevel="0" collapsed="false"/>
    <row r="581" customFormat="false" ht="15.75" hidden="false" customHeight="false" outlineLevel="0" collapsed="false"/>
    <row r="582" customFormat="false" ht="15.75" hidden="false" customHeight="false" outlineLevel="0" collapsed="false"/>
    <row r="583" customFormat="false" ht="15.75" hidden="false" customHeight="false" outlineLevel="0" collapsed="false"/>
    <row r="584" customFormat="false" ht="15.75" hidden="false" customHeight="false" outlineLevel="0" collapsed="false"/>
    <row r="585" customFormat="false" ht="15.75" hidden="false" customHeight="false" outlineLevel="0" collapsed="false"/>
    <row r="586" customFormat="false" ht="15.75" hidden="false" customHeight="false" outlineLevel="0" collapsed="false"/>
    <row r="587" customFormat="false" ht="15.75" hidden="false" customHeight="false" outlineLevel="0" collapsed="false"/>
    <row r="588" customFormat="false" ht="15.75" hidden="false" customHeight="false" outlineLevel="0" collapsed="false"/>
    <row r="589" customFormat="false" ht="15.75" hidden="false" customHeight="false" outlineLevel="0" collapsed="false"/>
    <row r="590" customFormat="false" ht="15.75" hidden="false" customHeight="false" outlineLevel="0" collapsed="false"/>
    <row r="591" customFormat="false" ht="15.75" hidden="false" customHeight="false" outlineLevel="0" collapsed="false"/>
    <row r="592" customFormat="false" ht="15.75" hidden="false" customHeight="false" outlineLevel="0" collapsed="false"/>
    <row r="593" customFormat="false" ht="15.75" hidden="false" customHeight="false" outlineLevel="0" collapsed="false"/>
    <row r="594" customFormat="false" ht="15.75" hidden="false" customHeight="false" outlineLevel="0" collapsed="false"/>
    <row r="595" customFormat="false" ht="15.75" hidden="false" customHeight="false" outlineLevel="0" collapsed="false"/>
    <row r="596" customFormat="false" ht="15.75" hidden="false" customHeight="false" outlineLevel="0" collapsed="false"/>
    <row r="597" customFormat="false" ht="15.75" hidden="false" customHeight="false" outlineLevel="0" collapsed="false"/>
    <row r="598" customFormat="false" ht="15.75" hidden="false" customHeight="false" outlineLevel="0" collapsed="false"/>
    <row r="599" customFormat="false" ht="15.75" hidden="false" customHeight="false" outlineLevel="0" collapsed="false"/>
    <row r="600" customFormat="false" ht="15.75" hidden="false" customHeight="false" outlineLevel="0" collapsed="false"/>
    <row r="601" customFormat="false" ht="15.75" hidden="false" customHeight="false" outlineLevel="0" collapsed="false"/>
    <row r="602" customFormat="false" ht="15.75" hidden="false" customHeight="false" outlineLevel="0" collapsed="false"/>
    <row r="603" customFormat="false" ht="15.75" hidden="false" customHeight="false" outlineLevel="0" collapsed="false"/>
    <row r="604" customFormat="false" ht="15.75" hidden="false" customHeight="false" outlineLevel="0" collapsed="false"/>
    <row r="605" customFormat="false" ht="15.75" hidden="false" customHeight="false" outlineLevel="0" collapsed="false"/>
    <row r="606" customFormat="false" ht="15.75" hidden="false" customHeight="false" outlineLevel="0" collapsed="false"/>
    <row r="607" customFormat="false" ht="15.75" hidden="false" customHeight="false" outlineLevel="0" collapsed="false"/>
    <row r="608" customFormat="false" ht="15.75" hidden="false" customHeight="false" outlineLevel="0" collapsed="false"/>
    <row r="609" customFormat="false" ht="15.75" hidden="false" customHeight="false" outlineLevel="0" collapsed="false"/>
    <row r="610" customFormat="false" ht="15.75" hidden="false" customHeight="false" outlineLevel="0" collapsed="false"/>
    <row r="611" customFormat="false" ht="15.75" hidden="false" customHeight="false" outlineLevel="0" collapsed="false"/>
    <row r="612" customFormat="false" ht="15.75" hidden="false" customHeight="false" outlineLevel="0" collapsed="false"/>
    <row r="613" customFormat="false" ht="15.75" hidden="false" customHeight="false" outlineLevel="0" collapsed="false"/>
    <row r="614" customFormat="false" ht="15.75" hidden="false" customHeight="false" outlineLevel="0" collapsed="false"/>
    <row r="615" customFormat="false" ht="15.75" hidden="false" customHeight="false" outlineLevel="0" collapsed="false"/>
    <row r="616" customFormat="false" ht="15.75" hidden="false" customHeight="false" outlineLevel="0" collapsed="false"/>
    <row r="617" customFormat="false" ht="15.75" hidden="false" customHeight="false" outlineLevel="0" collapsed="false"/>
    <row r="618" customFormat="false" ht="15.75" hidden="false" customHeight="false" outlineLevel="0" collapsed="false"/>
    <row r="619" customFormat="false" ht="15.75" hidden="false" customHeight="false" outlineLevel="0" collapsed="false"/>
    <row r="620" customFormat="false" ht="15.75" hidden="false" customHeight="false" outlineLevel="0" collapsed="false"/>
    <row r="621" customFormat="false" ht="15.75" hidden="false" customHeight="false" outlineLevel="0" collapsed="false"/>
    <row r="622" customFormat="false" ht="15.75" hidden="false" customHeight="false" outlineLevel="0" collapsed="false"/>
    <row r="623" customFormat="false" ht="15.75" hidden="false" customHeight="false" outlineLevel="0" collapsed="false"/>
    <row r="624" customFormat="false" ht="15.75" hidden="false" customHeight="false" outlineLevel="0" collapsed="false"/>
    <row r="625" customFormat="false" ht="15.75" hidden="false" customHeight="false" outlineLevel="0" collapsed="false"/>
    <row r="626" customFormat="false" ht="15.75" hidden="false" customHeight="false" outlineLevel="0" collapsed="false"/>
    <row r="627" customFormat="false" ht="15.75" hidden="false" customHeight="false" outlineLevel="0" collapsed="false"/>
    <row r="628" customFormat="false" ht="15.75" hidden="false" customHeight="false" outlineLevel="0" collapsed="false"/>
    <row r="629" customFormat="false" ht="15.75" hidden="false" customHeight="false" outlineLevel="0" collapsed="false"/>
    <row r="630" customFormat="false" ht="15.75" hidden="false" customHeight="false" outlineLevel="0" collapsed="false"/>
    <row r="631" customFormat="false" ht="15.75" hidden="false" customHeight="false" outlineLevel="0" collapsed="false"/>
    <row r="632" customFormat="false" ht="15.75" hidden="false" customHeight="false" outlineLevel="0" collapsed="false"/>
    <row r="633" customFormat="false" ht="15.75" hidden="false" customHeight="false" outlineLevel="0" collapsed="false"/>
    <row r="634" customFormat="false" ht="15.75" hidden="false" customHeight="false" outlineLevel="0" collapsed="false"/>
    <row r="635" customFormat="false" ht="15.75" hidden="false" customHeight="false" outlineLevel="0" collapsed="false"/>
    <row r="636" customFormat="false" ht="15.75" hidden="false" customHeight="false" outlineLevel="0" collapsed="false"/>
    <row r="637" customFormat="false" ht="15.75" hidden="false" customHeight="false" outlineLevel="0" collapsed="false"/>
    <row r="638" customFormat="false" ht="15.75" hidden="false" customHeight="false" outlineLevel="0" collapsed="false"/>
    <row r="639" customFormat="false" ht="15.75" hidden="false" customHeight="false" outlineLevel="0" collapsed="false"/>
    <row r="640" customFormat="false" ht="15.75" hidden="false" customHeight="false" outlineLevel="0" collapsed="false"/>
    <row r="641" customFormat="false" ht="15.75" hidden="false" customHeight="false" outlineLevel="0" collapsed="false"/>
    <row r="642" customFormat="false" ht="15.75" hidden="false" customHeight="false" outlineLevel="0" collapsed="false"/>
    <row r="643" customFormat="false" ht="15.75" hidden="false" customHeight="false" outlineLevel="0" collapsed="false"/>
    <row r="644" customFormat="false" ht="15.75" hidden="false" customHeight="false" outlineLevel="0" collapsed="false"/>
    <row r="645" customFormat="false" ht="15.75" hidden="false" customHeight="false" outlineLevel="0" collapsed="false"/>
    <row r="646" customFormat="false" ht="15.75" hidden="false" customHeight="false" outlineLevel="0" collapsed="false"/>
    <row r="647" customFormat="false" ht="15.75" hidden="false" customHeight="false" outlineLevel="0" collapsed="false"/>
    <row r="648" customFormat="false" ht="15.75" hidden="false" customHeight="false" outlineLevel="0" collapsed="false"/>
    <row r="649" customFormat="false" ht="15.75" hidden="false" customHeight="false" outlineLevel="0" collapsed="false"/>
    <row r="650" customFormat="false" ht="15.75" hidden="false" customHeight="false" outlineLevel="0" collapsed="false"/>
    <row r="651" customFormat="false" ht="15.75" hidden="false" customHeight="false" outlineLevel="0" collapsed="false"/>
    <row r="652" customFormat="false" ht="15.75" hidden="false" customHeight="false" outlineLevel="0" collapsed="false"/>
    <row r="653" customFormat="false" ht="15.75" hidden="false" customHeight="false" outlineLevel="0" collapsed="false"/>
    <row r="654" customFormat="false" ht="15.75" hidden="false" customHeight="false" outlineLevel="0" collapsed="false"/>
    <row r="655" customFormat="false" ht="15.75" hidden="false" customHeight="false" outlineLevel="0" collapsed="false"/>
    <row r="656" customFormat="false" ht="15.75" hidden="false" customHeight="false" outlineLevel="0" collapsed="false"/>
    <row r="657" customFormat="false" ht="15.75" hidden="false" customHeight="false" outlineLevel="0" collapsed="false"/>
    <row r="658" customFormat="false" ht="15.75" hidden="false" customHeight="false" outlineLevel="0" collapsed="false"/>
    <row r="659" customFormat="false" ht="15.75" hidden="false" customHeight="false" outlineLevel="0" collapsed="false"/>
    <row r="660" customFormat="false" ht="15.75" hidden="false" customHeight="false" outlineLevel="0" collapsed="false"/>
    <row r="661" customFormat="false" ht="15.75" hidden="false" customHeight="false" outlineLevel="0" collapsed="false"/>
    <row r="662" customFormat="false" ht="15.75" hidden="false" customHeight="false" outlineLevel="0" collapsed="false"/>
    <row r="663" customFormat="false" ht="15.75" hidden="false" customHeight="false" outlineLevel="0" collapsed="false"/>
    <row r="664" customFormat="false" ht="15.75" hidden="false" customHeight="false" outlineLevel="0" collapsed="false"/>
    <row r="665" customFormat="false" ht="15.75" hidden="false" customHeight="false" outlineLevel="0" collapsed="false"/>
    <row r="666" customFormat="false" ht="15.75" hidden="false" customHeight="false" outlineLevel="0" collapsed="false"/>
    <row r="667" customFormat="false" ht="15.75" hidden="false" customHeight="false" outlineLevel="0" collapsed="false"/>
    <row r="668" customFormat="false" ht="15.75" hidden="false" customHeight="false" outlineLevel="0" collapsed="false"/>
    <row r="669" customFormat="false" ht="15.75" hidden="false" customHeight="false" outlineLevel="0" collapsed="false"/>
    <row r="670" customFormat="false" ht="15.75" hidden="false" customHeight="false" outlineLevel="0" collapsed="false"/>
    <row r="671" customFormat="false" ht="15.75" hidden="false" customHeight="false" outlineLevel="0" collapsed="false"/>
    <row r="672" customFormat="false" ht="15.75" hidden="false" customHeight="false" outlineLevel="0" collapsed="false"/>
    <row r="673" customFormat="false" ht="15.75" hidden="false" customHeight="false" outlineLevel="0" collapsed="false"/>
    <row r="674" customFormat="false" ht="15.75" hidden="false" customHeight="false" outlineLevel="0" collapsed="false"/>
    <row r="675" customFormat="false" ht="15.75" hidden="false" customHeight="false" outlineLevel="0" collapsed="false"/>
    <row r="676" customFormat="false" ht="15.75" hidden="false" customHeight="false" outlineLevel="0" collapsed="false"/>
    <row r="677" customFormat="false" ht="15.75" hidden="false" customHeight="false" outlineLevel="0" collapsed="false"/>
    <row r="678" customFormat="false" ht="15.75" hidden="false" customHeight="false" outlineLevel="0" collapsed="false"/>
    <row r="679" customFormat="false" ht="15.75" hidden="false" customHeight="false" outlineLevel="0" collapsed="false"/>
    <row r="680" customFormat="false" ht="15.75" hidden="false" customHeight="false" outlineLevel="0" collapsed="false"/>
    <row r="681" customFormat="false" ht="15.75" hidden="false" customHeight="false" outlineLevel="0" collapsed="false"/>
    <row r="682" customFormat="false" ht="15.75" hidden="false" customHeight="false" outlineLevel="0" collapsed="false"/>
    <row r="683" customFormat="false" ht="15.75" hidden="false" customHeight="false" outlineLevel="0" collapsed="false"/>
    <row r="684" customFormat="false" ht="15.75" hidden="false" customHeight="false" outlineLevel="0" collapsed="false"/>
    <row r="685" customFormat="false" ht="15.75" hidden="false" customHeight="false" outlineLevel="0" collapsed="false"/>
    <row r="686" customFormat="false" ht="15.75" hidden="false" customHeight="false" outlineLevel="0" collapsed="false"/>
    <row r="687" customFormat="false" ht="15.75" hidden="false" customHeight="false" outlineLevel="0" collapsed="false"/>
    <row r="688" customFormat="false" ht="15.75" hidden="false" customHeight="false" outlineLevel="0" collapsed="false"/>
    <row r="689" customFormat="false" ht="15.75" hidden="false" customHeight="false" outlineLevel="0" collapsed="false"/>
    <row r="690" customFormat="false" ht="15.75" hidden="false" customHeight="false" outlineLevel="0" collapsed="false"/>
    <row r="691" customFormat="false" ht="15.75" hidden="false" customHeight="false" outlineLevel="0" collapsed="false"/>
    <row r="692" customFormat="false" ht="15.75" hidden="false" customHeight="false" outlineLevel="0" collapsed="false"/>
    <row r="693" customFormat="false" ht="15.75" hidden="false" customHeight="false" outlineLevel="0" collapsed="false"/>
    <row r="694" customFormat="false" ht="15.75" hidden="false" customHeight="false" outlineLevel="0" collapsed="false"/>
    <row r="695" customFormat="false" ht="15.75" hidden="false" customHeight="false" outlineLevel="0" collapsed="false"/>
    <row r="696" customFormat="false" ht="15.75" hidden="false" customHeight="false" outlineLevel="0" collapsed="false"/>
    <row r="697" customFormat="false" ht="15.75" hidden="false" customHeight="false" outlineLevel="0" collapsed="false"/>
    <row r="698" customFormat="false" ht="15.75" hidden="false" customHeight="false" outlineLevel="0" collapsed="false"/>
    <row r="699" customFormat="false" ht="15.75" hidden="false" customHeight="false" outlineLevel="0" collapsed="false"/>
    <row r="700" customFormat="false" ht="15.75" hidden="false" customHeight="false" outlineLevel="0" collapsed="false"/>
    <row r="701" customFormat="false" ht="15.75" hidden="false" customHeight="false" outlineLevel="0" collapsed="false"/>
    <row r="702" customFormat="false" ht="15.75" hidden="false" customHeight="false" outlineLevel="0" collapsed="false"/>
    <row r="703" customFormat="false" ht="15.75" hidden="false" customHeight="false" outlineLevel="0" collapsed="false"/>
    <row r="704" customFormat="false" ht="15.75" hidden="false" customHeight="false" outlineLevel="0" collapsed="false"/>
    <row r="705" customFormat="false" ht="15.75" hidden="false" customHeight="false" outlineLevel="0" collapsed="false"/>
    <row r="706" customFormat="false" ht="15.75" hidden="false" customHeight="false" outlineLevel="0" collapsed="false"/>
    <row r="707" customFormat="false" ht="15.75" hidden="false" customHeight="false" outlineLevel="0" collapsed="false"/>
    <row r="708" customFormat="false" ht="15.75" hidden="false" customHeight="false" outlineLevel="0" collapsed="false"/>
    <row r="709" customFormat="false" ht="15.75" hidden="false" customHeight="false" outlineLevel="0" collapsed="false"/>
    <row r="710" customFormat="false" ht="15.75" hidden="false" customHeight="false" outlineLevel="0" collapsed="false"/>
    <row r="711" customFormat="false" ht="15.75" hidden="false" customHeight="false" outlineLevel="0" collapsed="false"/>
    <row r="712" customFormat="false" ht="15.75" hidden="false" customHeight="false" outlineLevel="0" collapsed="false"/>
    <row r="713" customFormat="false" ht="15.75" hidden="false" customHeight="false" outlineLevel="0" collapsed="false"/>
    <row r="714" customFormat="false" ht="15.75" hidden="false" customHeight="false" outlineLevel="0" collapsed="false"/>
    <row r="715" customFormat="false" ht="15.75" hidden="false" customHeight="false" outlineLevel="0" collapsed="false"/>
    <row r="716" customFormat="false" ht="15.75" hidden="false" customHeight="false" outlineLevel="0" collapsed="false"/>
    <row r="717" customFormat="false" ht="15.75" hidden="false" customHeight="false" outlineLevel="0" collapsed="false"/>
    <row r="718" customFormat="false" ht="15.75" hidden="false" customHeight="false" outlineLevel="0" collapsed="false"/>
    <row r="719" customFormat="false" ht="15.75" hidden="false" customHeight="false" outlineLevel="0" collapsed="false"/>
    <row r="720" customFormat="false" ht="15.75" hidden="false" customHeight="false" outlineLevel="0" collapsed="false"/>
    <row r="721" customFormat="false" ht="15.75" hidden="false" customHeight="false" outlineLevel="0" collapsed="false"/>
    <row r="722" customFormat="false" ht="15.75" hidden="false" customHeight="false" outlineLevel="0" collapsed="false"/>
    <row r="723" customFormat="false" ht="15.75" hidden="false" customHeight="false" outlineLevel="0" collapsed="false"/>
    <row r="724" customFormat="false" ht="15.75" hidden="false" customHeight="false" outlineLevel="0" collapsed="false"/>
    <row r="725" customFormat="false" ht="15.75" hidden="false" customHeight="false" outlineLevel="0" collapsed="false"/>
    <row r="726" customFormat="false" ht="15.75" hidden="false" customHeight="false" outlineLevel="0" collapsed="false"/>
    <row r="727" customFormat="false" ht="15.75" hidden="false" customHeight="false" outlineLevel="0" collapsed="false"/>
    <row r="728" customFormat="false" ht="15.75" hidden="false" customHeight="false" outlineLevel="0" collapsed="false"/>
    <row r="729" customFormat="false" ht="15.75" hidden="false" customHeight="false" outlineLevel="0" collapsed="false"/>
    <row r="730" customFormat="false" ht="15.75" hidden="false" customHeight="false" outlineLevel="0" collapsed="false"/>
    <row r="731" customFormat="false" ht="15.75" hidden="false" customHeight="false" outlineLevel="0" collapsed="false"/>
    <row r="732" customFormat="false" ht="15.75" hidden="false" customHeight="false" outlineLevel="0" collapsed="false"/>
    <row r="733" customFormat="false" ht="15.75" hidden="false" customHeight="false" outlineLevel="0" collapsed="false"/>
    <row r="734" customFormat="false" ht="15.75" hidden="false" customHeight="false" outlineLevel="0" collapsed="false"/>
    <row r="735" customFormat="false" ht="15.75" hidden="false" customHeight="false" outlineLevel="0" collapsed="false"/>
    <row r="736" customFormat="false" ht="15.75" hidden="false" customHeight="false" outlineLevel="0" collapsed="false"/>
    <row r="737" customFormat="false" ht="15.75" hidden="false" customHeight="false" outlineLevel="0" collapsed="false"/>
    <row r="738" customFormat="false" ht="15.75" hidden="false" customHeight="false" outlineLevel="0" collapsed="false"/>
    <row r="739" customFormat="false" ht="15.75" hidden="false" customHeight="false" outlineLevel="0" collapsed="false"/>
    <row r="740" customFormat="false" ht="15.75" hidden="false" customHeight="false" outlineLevel="0" collapsed="false"/>
    <row r="741" customFormat="false" ht="15.75" hidden="false" customHeight="false" outlineLevel="0" collapsed="false"/>
    <row r="742" customFormat="false" ht="15.75" hidden="false" customHeight="false" outlineLevel="0" collapsed="false"/>
    <row r="743" customFormat="false" ht="15.75" hidden="false" customHeight="false" outlineLevel="0" collapsed="false"/>
    <row r="744" customFormat="false" ht="15.75" hidden="false" customHeight="false" outlineLevel="0" collapsed="false"/>
    <row r="745" customFormat="false" ht="15.75" hidden="false" customHeight="false" outlineLevel="0" collapsed="false"/>
    <row r="746" customFormat="false" ht="15.75" hidden="false" customHeight="false" outlineLevel="0" collapsed="false"/>
    <row r="747" customFormat="false" ht="15.75" hidden="false" customHeight="false" outlineLevel="0" collapsed="false"/>
    <row r="748" customFormat="false" ht="15.75" hidden="false" customHeight="false" outlineLevel="0" collapsed="false"/>
    <row r="749" customFormat="false" ht="15.75" hidden="false" customHeight="false" outlineLevel="0" collapsed="false"/>
    <row r="750" customFormat="false" ht="15.75" hidden="false" customHeight="false" outlineLevel="0" collapsed="false"/>
    <row r="751" customFormat="false" ht="15.75" hidden="false" customHeight="false" outlineLevel="0" collapsed="false"/>
    <row r="752" customFormat="false" ht="15.75" hidden="false" customHeight="false" outlineLevel="0" collapsed="false"/>
    <row r="753" customFormat="false" ht="15.75" hidden="false" customHeight="false" outlineLevel="0" collapsed="false"/>
    <row r="754" customFormat="false" ht="15.75" hidden="false" customHeight="false" outlineLevel="0" collapsed="false"/>
    <row r="755" customFormat="false" ht="15.75" hidden="false" customHeight="false" outlineLevel="0" collapsed="false"/>
    <row r="756" customFormat="false" ht="15.75" hidden="false" customHeight="false" outlineLevel="0" collapsed="false"/>
    <row r="757" customFormat="false" ht="15.75" hidden="false" customHeight="false" outlineLevel="0" collapsed="false"/>
    <row r="758" customFormat="false" ht="15.75" hidden="false" customHeight="false" outlineLevel="0" collapsed="false"/>
    <row r="759" customFormat="false" ht="15.75" hidden="false" customHeight="false" outlineLevel="0" collapsed="false"/>
    <row r="760" customFormat="false" ht="15.75" hidden="false" customHeight="false" outlineLevel="0" collapsed="false"/>
    <row r="761" customFormat="false" ht="15.75" hidden="false" customHeight="false" outlineLevel="0" collapsed="false"/>
    <row r="762" customFormat="false" ht="15.75" hidden="false" customHeight="false" outlineLevel="0" collapsed="false"/>
    <row r="763" customFormat="false" ht="15.75" hidden="false" customHeight="false" outlineLevel="0" collapsed="false"/>
    <row r="764" customFormat="false" ht="15.75" hidden="false" customHeight="false" outlineLevel="0" collapsed="false"/>
    <row r="765" customFormat="false" ht="15.75" hidden="false" customHeight="false" outlineLevel="0" collapsed="false"/>
    <row r="766" customFormat="false" ht="15.75" hidden="false" customHeight="false" outlineLevel="0" collapsed="false"/>
    <row r="767" customFormat="false" ht="15.75" hidden="false" customHeight="false" outlineLevel="0" collapsed="false"/>
    <row r="768" customFormat="false" ht="15.75" hidden="false" customHeight="false" outlineLevel="0" collapsed="false"/>
    <row r="769" customFormat="false" ht="15.75" hidden="false" customHeight="false" outlineLevel="0" collapsed="false"/>
    <row r="770" customFormat="false" ht="15.75" hidden="false" customHeight="false" outlineLevel="0" collapsed="false"/>
    <row r="771" customFormat="false" ht="15.75" hidden="false" customHeight="false" outlineLevel="0" collapsed="false"/>
    <row r="772" customFormat="false" ht="15.75" hidden="false" customHeight="false" outlineLevel="0" collapsed="false"/>
    <row r="773" customFormat="false" ht="15.75" hidden="false" customHeight="false" outlineLevel="0" collapsed="false"/>
    <row r="774" customFormat="false" ht="15.75" hidden="false" customHeight="false" outlineLevel="0" collapsed="false"/>
    <row r="775" customFormat="false" ht="15.75" hidden="false" customHeight="false" outlineLevel="0" collapsed="false"/>
    <row r="776" customFormat="false" ht="15.75" hidden="false" customHeight="false" outlineLevel="0" collapsed="false"/>
    <row r="777" customFormat="false" ht="15.75" hidden="false" customHeight="false" outlineLevel="0" collapsed="false"/>
    <row r="778" customFormat="false" ht="15.75" hidden="false" customHeight="false" outlineLevel="0" collapsed="false"/>
    <row r="779" customFormat="false" ht="15.75" hidden="false" customHeight="false" outlineLevel="0" collapsed="false"/>
    <row r="780" customFormat="false" ht="15.75" hidden="false" customHeight="false" outlineLevel="0" collapsed="false"/>
    <row r="781" customFormat="false" ht="15.75" hidden="false" customHeight="false" outlineLevel="0" collapsed="false"/>
    <row r="782" customFormat="false" ht="15.75" hidden="false" customHeight="false" outlineLevel="0" collapsed="false"/>
    <row r="783" customFormat="false" ht="15.75" hidden="false" customHeight="false" outlineLevel="0" collapsed="false"/>
    <row r="784" customFormat="false" ht="15.75" hidden="false" customHeight="false" outlineLevel="0" collapsed="false"/>
    <row r="785" customFormat="false" ht="15.75" hidden="false" customHeight="false" outlineLevel="0" collapsed="false"/>
    <row r="786" customFormat="false" ht="15.75" hidden="false" customHeight="false" outlineLevel="0" collapsed="false"/>
    <row r="787" customFormat="false" ht="15.75" hidden="false" customHeight="false" outlineLevel="0" collapsed="false"/>
    <row r="788" customFormat="false" ht="15.75" hidden="false" customHeight="false" outlineLevel="0" collapsed="false"/>
    <row r="789" customFormat="false" ht="15.75" hidden="false" customHeight="false" outlineLevel="0" collapsed="false"/>
    <row r="790" customFormat="false" ht="15.75" hidden="false" customHeight="false" outlineLevel="0" collapsed="false"/>
    <row r="791" customFormat="false" ht="15.75" hidden="false" customHeight="false" outlineLevel="0" collapsed="false"/>
    <row r="792" customFormat="false" ht="15.75" hidden="false" customHeight="false" outlineLevel="0" collapsed="false"/>
    <row r="793" customFormat="false" ht="15.75" hidden="false" customHeight="false" outlineLevel="0" collapsed="false"/>
    <row r="794" customFormat="false" ht="15.75" hidden="false" customHeight="false" outlineLevel="0" collapsed="false"/>
    <row r="795" customFormat="false" ht="15.75" hidden="false" customHeight="false" outlineLevel="0" collapsed="false"/>
    <row r="796" customFormat="false" ht="15.75" hidden="false" customHeight="false" outlineLevel="0" collapsed="false"/>
    <row r="797" customFormat="false" ht="15.75" hidden="false" customHeight="false" outlineLevel="0" collapsed="false"/>
    <row r="798" customFormat="false" ht="15.75" hidden="false" customHeight="false" outlineLevel="0" collapsed="false"/>
    <row r="799" customFormat="false" ht="15.75" hidden="false" customHeight="false" outlineLevel="0" collapsed="false"/>
    <row r="800" customFormat="false" ht="15.75" hidden="false" customHeight="false" outlineLevel="0" collapsed="false"/>
    <row r="801" customFormat="false" ht="15.75" hidden="false" customHeight="false" outlineLevel="0" collapsed="false"/>
    <row r="802" customFormat="false" ht="15.75" hidden="false" customHeight="false" outlineLevel="0" collapsed="false"/>
    <row r="803" customFormat="false" ht="15.75" hidden="false" customHeight="false" outlineLevel="0" collapsed="false"/>
    <row r="804" customFormat="false" ht="15.75" hidden="false" customHeight="false" outlineLevel="0" collapsed="false"/>
    <row r="805" customFormat="false" ht="15.75" hidden="false" customHeight="false" outlineLevel="0" collapsed="false"/>
    <row r="806" customFormat="false" ht="15.75" hidden="false" customHeight="false" outlineLevel="0" collapsed="false"/>
    <row r="807" customFormat="false" ht="15.75" hidden="false" customHeight="false" outlineLevel="0" collapsed="false"/>
    <row r="808" customFormat="false" ht="15.75" hidden="false" customHeight="false" outlineLevel="0" collapsed="false"/>
    <row r="809" customFormat="false" ht="15.75" hidden="false" customHeight="false" outlineLevel="0" collapsed="false"/>
    <row r="810" customFormat="false" ht="15.75" hidden="false" customHeight="false" outlineLevel="0" collapsed="false"/>
    <row r="811" customFormat="false" ht="15.75" hidden="false" customHeight="false" outlineLevel="0" collapsed="false"/>
    <row r="812" customFormat="false" ht="15.75" hidden="false" customHeight="false" outlineLevel="0" collapsed="false"/>
    <row r="813" customFormat="false" ht="15.75" hidden="false" customHeight="false" outlineLevel="0" collapsed="false"/>
    <row r="814" customFormat="false" ht="15.75" hidden="false" customHeight="false" outlineLevel="0" collapsed="false"/>
    <row r="815" customFormat="false" ht="15.75" hidden="false" customHeight="false" outlineLevel="0" collapsed="false"/>
    <row r="816" customFormat="false" ht="15.75" hidden="false" customHeight="false" outlineLevel="0" collapsed="false"/>
    <row r="817" customFormat="false" ht="15.75" hidden="false" customHeight="false" outlineLevel="0" collapsed="false"/>
    <row r="818" customFormat="false" ht="15.75" hidden="false" customHeight="false" outlineLevel="0" collapsed="false"/>
    <row r="819" customFormat="false" ht="15.75" hidden="false" customHeight="false" outlineLevel="0" collapsed="false"/>
    <row r="820" customFormat="false" ht="15.75" hidden="false" customHeight="false" outlineLevel="0" collapsed="false"/>
    <row r="821" customFormat="false" ht="15.75" hidden="false" customHeight="false" outlineLevel="0" collapsed="false"/>
    <row r="822" customFormat="false" ht="15.75" hidden="false" customHeight="false" outlineLevel="0" collapsed="false"/>
    <row r="823" customFormat="false" ht="15.75" hidden="false" customHeight="false" outlineLevel="0" collapsed="false"/>
    <row r="824" customFormat="false" ht="15.75" hidden="false" customHeight="false" outlineLevel="0" collapsed="false"/>
    <row r="825" customFormat="false" ht="15.75" hidden="false" customHeight="false" outlineLevel="0" collapsed="false"/>
    <row r="826" customFormat="false" ht="15.75" hidden="false" customHeight="false" outlineLevel="0" collapsed="false"/>
    <row r="827" customFormat="false" ht="15.75" hidden="false" customHeight="false" outlineLevel="0" collapsed="false"/>
    <row r="828" customFormat="false" ht="15.75" hidden="false" customHeight="false" outlineLevel="0" collapsed="false"/>
    <row r="829" customFormat="false" ht="15.75" hidden="false" customHeight="false" outlineLevel="0" collapsed="false"/>
    <row r="830" customFormat="false" ht="15.75" hidden="false" customHeight="false" outlineLevel="0" collapsed="false"/>
    <row r="831" customFormat="false" ht="15.75" hidden="false" customHeight="false" outlineLevel="0" collapsed="false"/>
    <row r="832" customFormat="false" ht="15.75" hidden="false" customHeight="false" outlineLevel="0" collapsed="false"/>
    <row r="833" customFormat="false" ht="15.75" hidden="false" customHeight="false" outlineLevel="0" collapsed="false"/>
    <row r="834" customFormat="false" ht="15.75" hidden="false" customHeight="false" outlineLevel="0" collapsed="false"/>
    <row r="835" customFormat="false" ht="15.75" hidden="false" customHeight="false" outlineLevel="0" collapsed="false"/>
    <row r="836" customFormat="false" ht="15.75" hidden="false" customHeight="false" outlineLevel="0" collapsed="false"/>
    <row r="837" customFormat="false" ht="15.75" hidden="false" customHeight="false" outlineLevel="0" collapsed="false"/>
    <row r="838" customFormat="false" ht="15.75" hidden="false" customHeight="false" outlineLevel="0" collapsed="false"/>
    <row r="839" customFormat="false" ht="15.75" hidden="false" customHeight="false" outlineLevel="0" collapsed="false"/>
    <row r="840" customFormat="false" ht="15.75" hidden="false" customHeight="false" outlineLevel="0" collapsed="false"/>
    <row r="841" customFormat="false" ht="15.75" hidden="false" customHeight="false" outlineLevel="0" collapsed="false"/>
    <row r="842" customFormat="false" ht="15.75" hidden="false" customHeight="false" outlineLevel="0" collapsed="false"/>
    <row r="843" customFormat="false" ht="15.75" hidden="false" customHeight="false" outlineLevel="0" collapsed="false"/>
    <row r="844" customFormat="false" ht="15.75" hidden="false" customHeight="false" outlineLevel="0" collapsed="false"/>
    <row r="845" customFormat="false" ht="15.75" hidden="false" customHeight="false" outlineLevel="0" collapsed="false"/>
    <row r="846" customFormat="false" ht="15.75" hidden="false" customHeight="false" outlineLevel="0" collapsed="false"/>
    <row r="847" customFormat="false" ht="15.75" hidden="false" customHeight="false" outlineLevel="0" collapsed="false"/>
    <row r="848" customFormat="false" ht="15.75" hidden="false" customHeight="false" outlineLevel="0" collapsed="false"/>
    <row r="849" customFormat="false" ht="15.75" hidden="false" customHeight="false" outlineLevel="0" collapsed="false"/>
    <row r="850" customFormat="false" ht="15.75" hidden="false" customHeight="false" outlineLevel="0" collapsed="false"/>
    <row r="851" customFormat="false" ht="15.75" hidden="false" customHeight="false" outlineLevel="0" collapsed="false"/>
    <row r="852" customFormat="false" ht="15.75" hidden="false" customHeight="false" outlineLevel="0" collapsed="false"/>
    <row r="853" customFormat="false" ht="15.75" hidden="false" customHeight="false" outlineLevel="0" collapsed="false"/>
    <row r="854" customFormat="false" ht="15.75" hidden="false" customHeight="false" outlineLevel="0" collapsed="false"/>
    <row r="855" customFormat="false" ht="15.75" hidden="false" customHeight="false" outlineLevel="0" collapsed="false"/>
    <row r="856" customFormat="false" ht="15.75" hidden="false" customHeight="false" outlineLevel="0" collapsed="false"/>
    <row r="857" customFormat="false" ht="15.75" hidden="false" customHeight="false" outlineLevel="0" collapsed="false"/>
    <row r="858" customFormat="false" ht="15.75" hidden="false" customHeight="false" outlineLevel="0" collapsed="false"/>
    <row r="859" customFormat="false" ht="15.75" hidden="false" customHeight="false" outlineLevel="0" collapsed="false"/>
    <row r="860" customFormat="false" ht="15.75" hidden="false" customHeight="false" outlineLevel="0" collapsed="false"/>
    <row r="861" customFormat="false" ht="15.75" hidden="false" customHeight="false" outlineLevel="0" collapsed="false"/>
    <row r="862" customFormat="false" ht="15.75" hidden="false" customHeight="false" outlineLevel="0" collapsed="false"/>
    <row r="863" customFormat="false" ht="15.75" hidden="false" customHeight="false" outlineLevel="0" collapsed="false"/>
    <row r="864" customFormat="false" ht="15.75" hidden="false" customHeight="false" outlineLevel="0" collapsed="false"/>
    <row r="865" customFormat="false" ht="15.75" hidden="false" customHeight="false" outlineLevel="0" collapsed="false"/>
    <row r="866" customFormat="false" ht="15.75" hidden="false" customHeight="false" outlineLevel="0" collapsed="false"/>
    <row r="867" customFormat="false" ht="15.75" hidden="false" customHeight="false" outlineLevel="0" collapsed="false"/>
    <row r="868" customFormat="false" ht="15.75" hidden="false" customHeight="false" outlineLevel="0" collapsed="false"/>
    <row r="869" customFormat="false" ht="15.75" hidden="false" customHeight="false" outlineLevel="0" collapsed="false"/>
    <row r="870" customFormat="false" ht="15.75" hidden="false" customHeight="false" outlineLevel="0" collapsed="false"/>
    <row r="871" customFormat="false" ht="15.75" hidden="false" customHeight="false" outlineLevel="0" collapsed="false"/>
    <row r="872" customFormat="false" ht="15.75" hidden="false" customHeight="false" outlineLevel="0" collapsed="false"/>
    <row r="873" customFormat="false" ht="15.75" hidden="false" customHeight="false" outlineLevel="0" collapsed="false"/>
    <row r="874" customFormat="false" ht="15.75" hidden="false" customHeight="false" outlineLevel="0" collapsed="false"/>
    <row r="875" customFormat="false" ht="15.75" hidden="false" customHeight="false" outlineLevel="0" collapsed="false"/>
    <row r="876" customFormat="false" ht="15.75" hidden="false" customHeight="false" outlineLevel="0" collapsed="false"/>
    <row r="877" customFormat="false" ht="15.75" hidden="false" customHeight="false" outlineLevel="0" collapsed="false"/>
    <row r="878" customFormat="false" ht="15.75" hidden="false" customHeight="false" outlineLevel="0" collapsed="false"/>
    <row r="879" customFormat="false" ht="15.75" hidden="false" customHeight="false" outlineLevel="0" collapsed="false"/>
    <row r="880" customFormat="false" ht="15.75" hidden="false" customHeight="false" outlineLevel="0" collapsed="false"/>
    <row r="881" customFormat="false" ht="15.75" hidden="false" customHeight="false" outlineLevel="0" collapsed="false"/>
    <row r="882" customFormat="false" ht="15.75" hidden="false" customHeight="false" outlineLevel="0" collapsed="false"/>
    <row r="883" customFormat="false" ht="15.75" hidden="false" customHeight="false" outlineLevel="0" collapsed="false"/>
    <row r="884" customFormat="false" ht="15.75" hidden="false" customHeight="false" outlineLevel="0" collapsed="false"/>
    <row r="885" customFormat="false" ht="15.75" hidden="false" customHeight="false" outlineLevel="0" collapsed="false"/>
    <row r="886" customFormat="false" ht="15.75" hidden="false" customHeight="false" outlineLevel="0" collapsed="false"/>
    <row r="887" customFormat="false" ht="15.75" hidden="false" customHeight="false" outlineLevel="0" collapsed="false"/>
    <row r="888" customFormat="false" ht="15.75" hidden="false" customHeight="false" outlineLevel="0" collapsed="false"/>
    <row r="889" customFormat="false" ht="15.75" hidden="false" customHeight="false" outlineLevel="0" collapsed="false"/>
    <row r="890" customFormat="false" ht="15.75" hidden="false" customHeight="false" outlineLevel="0" collapsed="false"/>
    <row r="891" customFormat="false" ht="15.75" hidden="false" customHeight="false" outlineLevel="0" collapsed="false"/>
    <row r="892" customFormat="false" ht="15.75" hidden="false" customHeight="false" outlineLevel="0" collapsed="false"/>
    <row r="893" customFormat="false" ht="15.75" hidden="false" customHeight="false" outlineLevel="0" collapsed="false"/>
    <row r="894" customFormat="false" ht="15.75" hidden="false" customHeight="false" outlineLevel="0" collapsed="false"/>
    <row r="895" customFormat="false" ht="15.75" hidden="false" customHeight="false" outlineLevel="0" collapsed="false"/>
    <row r="896" customFormat="false" ht="15.75" hidden="false" customHeight="false" outlineLevel="0" collapsed="false"/>
    <row r="897" customFormat="false" ht="15.75" hidden="false" customHeight="false" outlineLevel="0" collapsed="false"/>
    <row r="898" customFormat="false" ht="15.75" hidden="false" customHeight="false" outlineLevel="0" collapsed="false"/>
    <row r="899" customFormat="false" ht="15.75" hidden="false" customHeight="false" outlineLevel="0" collapsed="false"/>
    <row r="900" customFormat="false" ht="15.75" hidden="false" customHeight="false" outlineLevel="0" collapsed="false"/>
    <row r="901" customFormat="false" ht="15.75" hidden="false" customHeight="false" outlineLevel="0" collapsed="false"/>
    <row r="902" customFormat="false" ht="15.75" hidden="false" customHeight="false" outlineLevel="0" collapsed="false"/>
    <row r="903" customFormat="false" ht="15.75" hidden="false" customHeight="false" outlineLevel="0" collapsed="false"/>
    <row r="904" customFormat="false" ht="15.75" hidden="false" customHeight="false" outlineLevel="0" collapsed="false"/>
    <row r="905" customFormat="false" ht="15.75" hidden="false" customHeight="false" outlineLevel="0" collapsed="false"/>
    <row r="906" customFormat="false" ht="15.75" hidden="false" customHeight="false" outlineLevel="0" collapsed="false"/>
    <row r="907" customFormat="false" ht="15.75" hidden="false" customHeight="false" outlineLevel="0" collapsed="false"/>
    <row r="908" customFormat="false" ht="15.75" hidden="false" customHeight="false" outlineLevel="0" collapsed="false"/>
    <row r="909" customFormat="false" ht="15.75" hidden="false" customHeight="false" outlineLevel="0" collapsed="false"/>
    <row r="910" customFormat="false" ht="15.75" hidden="false" customHeight="false" outlineLevel="0" collapsed="false"/>
    <row r="911" customFormat="false" ht="15.75" hidden="false" customHeight="false" outlineLevel="0" collapsed="false"/>
    <row r="912" customFormat="false" ht="15.75" hidden="false" customHeight="false" outlineLevel="0" collapsed="false"/>
    <row r="913" customFormat="false" ht="15.75" hidden="false" customHeight="false" outlineLevel="0" collapsed="false"/>
    <row r="914" customFormat="false" ht="15.75" hidden="false" customHeight="false" outlineLevel="0" collapsed="false"/>
    <row r="915" customFormat="false" ht="15.75" hidden="false" customHeight="false" outlineLevel="0" collapsed="false"/>
    <row r="916" customFormat="false" ht="15.75" hidden="false" customHeight="false" outlineLevel="0" collapsed="false"/>
    <row r="917" customFormat="false" ht="15.75" hidden="false" customHeight="false" outlineLevel="0" collapsed="false"/>
    <row r="918" customFormat="false" ht="15.75" hidden="false" customHeight="false" outlineLevel="0" collapsed="false"/>
    <row r="919" customFormat="false" ht="15.75" hidden="false" customHeight="false" outlineLevel="0" collapsed="false"/>
    <row r="920" customFormat="false" ht="15.75" hidden="false" customHeight="false" outlineLevel="0" collapsed="false"/>
    <row r="921" customFormat="false" ht="15.75" hidden="false" customHeight="false" outlineLevel="0" collapsed="false"/>
    <row r="922" customFormat="false" ht="15.75" hidden="false" customHeight="false" outlineLevel="0" collapsed="false"/>
    <row r="923" customFormat="false" ht="15.75" hidden="false" customHeight="false" outlineLevel="0" collapsed="false"/>
    <row r="924" customFormat="false" ht="15.75" hidden="false" customHeight="false" outlineLevel="0" collapsed="false"/>
    <row r="925" customFormat="false" ht="15.75" hidden="false" customHeight="false" outlineLevel="0" collapsed="false"/>
    <row r="926" customFormat="false" ht="15.75" hidden="false" customHeight="false" outlineLevel="0" collapsed="false"/>
    <row r="927" customFormat="false" ht="15.75" hidden="false" customHeight="false" outlineLevel="0" collapsed="false"/>
    <row r="928" customFormat="false" ht="15.75" hidden="false" customHeight="false" outlineLevel="0" collapsed="false"/>
    <row r="929" customFormat="false" ht="15.75" hidden="false" customHeight="false" outlineLevel="0" collapsed="false"/>
    <row r="930" customFormat="false" ht="15.75" hidden="false" customHeight="false" outlineLevel="0" collapsed="false"/>
    <row r="931" customFormat="false" ht="15.75" hidden="false" customHeight="false" outlineLevel="0" collapsed="false"/>
    <row r="932" customFormat="false" ht="15.75" hidden="false" customHeight="false" outlineLevel="0" collapsed="false"/>
    <row r="933" customFormat="false" ht="15.75" hidden="false" customHeight="false" outlineLevel="0" collapsed="false"/>
    <row r="934" customFormat="false" ht="15.75" hidden="false" customHeight="false" outlineLevel="0" collapsed="false"/>
    <row r="935" customFormat="false" ht="15.75" hidden="false" customHeight="false" outlineLevel="0" collapsed="false"/>
    <row r="936" customFormat="false" ht="15.75" hidden="false" customHeight="false" outlineLevel="0" collapsed="false"/>
    <row r="937" customFormat="false" ht="15.75" hidden="false" customHeight="false" outlineLevel="0" collapsed="false"/>
    <row r="938" customFormat="false" ht="15.75" hidden="false" customHeight="false" outlineLevel="0" collapsed="false"/>
    <row r="939" customFormat="false" ht="15.75" hidden="false" customHeight="false" outlineLevel="0" collapsed="false"/>
    <row r="940" customFormat="false" ht="15.75" hidden="false" customHeight="false" outlineLevel="0" collapsed="false"/>
    <row r="941" customFormat="false" ht="15.75" hidden="false" customHeight="false" outlineLevel="0" collapsed="false"/>
    <row r="942" customFormat="false" ht="15.75" hidden="false" customHeight="false" outlineLevel="0" collapsed="false"/>
    <row r="943" customFormat="false" ht="15.75" hidden="false" customHeight="false" outlineLevel="0" collapsed="false"/>
    <row r="944" customFormat="false" ht="15.75" hidden="false" customHeight="false" outlineLevel="0" collapsed="false"/>
    <row r="945" customFormat="false" ht="15.75" hidden="false" customHeight="false" outlineLevel="0" collapsed="false"/>
    <row r="946" customFormat="false" ht="15.75" hidden="false" customHeight="false" outlineLevel="0" collapsed="false"/>
    <row r="947" customFormat="false" ht="15.75" hidden="false" customHeight="false" outlineLevel="0" collapsed="false"/>
    <row r="948" customFormat="false" ht="15.75" hidden="false" customHeight="false" outlineLevel="0" collapsed="false"/>
    <row r="949" customFormat="false" ht="15.75" hidden="false" customHeight="false" outlineLevel="0" collapsed="false"/>
    <row r="950" customFormat="false" ht="15.75" hidden="false" customHeight="false" outlineLevel="0" collapsed="false"/>
  </sheetData>
  <conditionalFormatting sqref="F2:F17">
    <cfRule type="colorScale" priority="2">
      <colorScale>
        <cfvo type="formula" val="0"/>
        <cfvo type="percent" val="10"/>
        <cfvo type="max" val="0"/>
        <color rgb="FFFF0000"/>
        <color rgb="FFFFFFFF"/>
        <color rgb="FFFFFFFF"/>
      </colorScale>
    </cfRule>
  </conditionalFormatting>
  <hyperlinks>
    <hyperlink ref="I1" r:id="rId1" display="https://www.cocktailbuilder.com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16384" min="1" style="19" width="12.63"/>
  </cols>
  <sheetData>
    <row r="1" customFormat="false" ht="15.75" hidden="false" customHeight="false" outlineLevel="0" collapsed="false">
      <c r="A1" s="32" t="s">
        <v>322</v>
      </c>
      <c r="B1" s="33" t="s">
        <v>323</v>
      </c>
      <c r="C1" s="34" t="s">
        <v>324</v>
      </c>
      <c r="D1" s="1"/>
      <c r="E1" s="1"/>
      <c r="F1" s="1"/>
      <c r="G1" s="1" t="s">
        <v>234</v>
      </c>
      <c r="H1" s="1" t="s">
        <v>325</v>
      </c>
    </row>
    <row r="2" customFormat="false" ht="15.75" hidden="false" customHeight="false" outlineLevel="0" collapsed="false">
      <c r="A2" s="1" t="s">
        <v>326</v>
      </c>
      <c r="B2" s="5" t="n">
        <v>300</v>
      </c>
      <c r="C2" s="5" t="n">
        <v>10</v>
      </c>
      <c r="D2" s="35" t="s">
        <v>327</v>
      </c>
      <c r="E2" s="1" t="s">
        <v>328</v>
      </c>
      <c r="F2" s="1"/>
      <c r="G2" s="1" t="s">
        <v>267</v>
      </c>
      <c r="H2" s="1" t="s">
        <v>329</v>
      </c>
    </row>
    <row r="3" customFormat="false" ht="15.75" hidden="false" customHeight="false" outlineLevel="0" collapsed="false">
      <c r="A3" s="1" t="s">
        <v>330</v>
      </c>
      <c r="B3" s="5" t="n">
        <v>180</v>
      </c>
      <c r="C3" s="5" t="n">
        <v>6</v>
      </c>
      <c r="D3" s="35" t="s">
        <v>331</v>
      </c>
      <c r="E3" s="1" t="s">
        <v>332</v>
      </c>
      <c r="F3" s="1"/>
      <c r="G3" s="1" t="s">
        <v>228</v>
      </c>
      <c r="H3" s="1" t="s">
        <v>333</v>
      </c>
    </row>
    <row r="4" customFormat="false" ht="15.75" hidden="false" customHeight="false" outlineLevel="0" collapsed="false">
      <c r="A4" s="1" t="s">
        <v>334</v>
      </c>
      <c r="B4" s="5" t="n">
        <v>120</v>
      </c>
      <c r="C4" s="5" t="n">
        <v>4</v>
      </c>
      <c r="D4" s="5"/>
      <c r="E4" s="1"/>
      <c r="F4" s="1"/>
      <c r="G4" s="1" t="s">
        <v>270</v>
      </c>
      <c r="H4" s="1" t="s">
        <v>335</v>
      </c>
    </row>
  </sheetData>
  <hyperlinks>
    <hyperlink ref="D2" r:id="rId1" location="content" display="https://www.ikea.com/nl/nl/p/pokal-glas-helder-glas-10270478/"/>
    <hyperlink ref="D3" r:id="rId2" display="https://www.ikea.com/nl/nl/p/pokal-glas-helder-glas-30288241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9" width="19"/>
    <col collapsed="false" customWidth="false" hidden="false" outlineLevel="0" max="16384" min="2" style="19" width="12.63"/>
  </cols>
  <sheetData>
    <row r="1" customFormat="false" ht="15.75" hidden="false" customHeight="false" outlineLevel="0" collapsed="false">
      <c r="B1" s="1" t="s">
        <v>336</v>
      </c>
    </row>
    <row r="2" customFormat="false" ht="15.75" hidden="false" customHeight="false" outlineLevel="0" collapsed="false">
      <c r="A2" s="1" t="s">
        <v>337</v>
      </c>
      <c r="B2" s="36" t="n">
        <v>200</v>
      </c>
    </row>
    <row r="3" customFormat="false" ht="15.75" hidden="false" customHeight="false" outlineLevel="0" collapsed="false">
      <c r="A3" s="1"/>
      <c r="B3" s="13" t="n">
        <f aca="false">B2+B$9</f>
        <v>4180</v>
      </c>
    </row>
    <row r="4" customFormat="false" ht="15.75" hidden="false" customHeight="false" outlineLevel="0" collapsed="false">
      <c r="A4" s="1"/>
      <c r="B4" s="13" t="n">
        <f aca="false">B3+B$9</f>
        <v>8160</v>
      </c>
    </row>
    <row r="5" customFormat="false" ht="15.75" hidden="false" customHeight="false" outlineLevel="0" collapsed="false">
      <c r="A5" s="1"/>
      <c r="B5" s="13" t="n">
        <f aca="false">B4+B$9</f>
        <v>12140</v>
      </c>
    </row>
    <row r="6" customFormat="false" ht="15.75" hidden="false" customHeight="false" outlineLevel="0" collapsed="false">
      <c r="A6" s="1"/>
      <c r="B6" s="13" t="n">
        <f aca="false">B5+B$9</f>
        <v>16120</v>
      </c>
    </row>
    <row r="7" customFormat="false" ht="15.75" hidden="false" customHeight="false" outlineLevel="0" collapsed="false">
      <c r="A7" s="1" t="s">
        <v>338</v>
      </c>
      <c r="B7" s="36" t="n">
        <v>20100</v>
      </c>
    </row>
    <row r="8" customFormat="false" ht="15.75" hidden="false" customHeight="false" outlineLevel="0" collapsed="false">
      <c r="A8" s="1" t="s">
        <v>339</v>
      </c>
      <c r="B8" s="13" t="n">
        <f aca="false">B7+B$9</f>
        <v>24080</v>
      </c>
    </row>
    <row r="9" customFormat="false" ht="15.75" hidden="false" customHeight="false" outlineLevel="0" collapsed="false">
      <c r="A9" s="1" t="s">
        <v>340</v>
      </c>
      <c r="B9" s="1" t="n">
        <f aca="false">(B7-B2)/5</f>
        <v>3980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9" width="11.53"/>
  </cols>
  <sheetData>
    <row r="1" customFormat="false" ht="12.8" hidden="false" customHeight="false" outlineLevel="0" collapsed="false">
      <c r="A1" s="19" t="s">
        <v>341</v>
      </c>
      <c r="B1" s="30" t="n">
        <v>10</v>
      </c>
    </row>
    <row r="2" customFormat="false" ht="12.8" hidden="false" customHeight="false" outlineLevel="0" collapsed="false">
      <c r="A2" s="19" t="s">
        <v>342</v>
      </c>
      <c r="B2" s="19" t="n">
        <v>100</v>
      </c>
    </row>
    <row r="3" customFormat="false" ht="12.8" hidden="false" customHeight="false" outlineLevel="0" collapsed="false">
      <c r="A3" s="19" t="s">
        <v>343</v>
      </c>
      <c r="B3" s="19" t="n">
        <v>23900</v>
      </c>
    </row>
    <row r="5" customFormat="false" ht="12.8" hidden="false" customHeight="false" outlineLevel="0" collapsed="false">
      <c r="A5" s="19" t="s">
        <v>344</v>
      </c>
      <c r="B5" s="19" t="n">
        <v>0</v>
      </c>
      <c r="C5" s="19" t="n">
        <v>3500</v>
      </c>
      <c r="D5" s="19" t="n">
        <v>7625</v>
      </c>
      <c r="E5" s="19" t="n">
        <v>11750</v>
      </c>
      <c r="F5" s="19" t="n">
        <v>15875</v>
      </c>
      <c r="G5" s="19" t="n">
        <v>20000</v>
      </c>
      <c r="H5" s="19" t="n">
        <v>23900</v>
      </c>
    </row>
    <row r="7" customFormat="false" ht="12.8" hidden="false" customHeight="false" outlineLevel="0" collapsed="false">
      <c r="B7" s="19" t="n">
        <f aca="false">ROUNDDOWN((B5*$B2)/$B3,0)</f>
        <v>0</v>
      </c>
      <c r="C7" s="19" t="n">
        <f aca="false">ROUNDDOWN((C5*$B2)/$B3,0)</f>
        <v>14</v>
      </c>
      <c r="D7" s="19" t="n">
        <f aca="false">ROUNDDOWN((D5*$B2)/$B3,0)</f>
        <v>31</v>
      </c>
      <c r="E7" s="19" t="n">
        <f aca="false">ROUNDDOWN((E5*$B2)/$B3,0)</f>
        <v>49</v>
      </c>
      <c r="F7" s="19" t="n">
        <f aca="false">ROUNDDOWN((F5*$B2)/$B3,0)</f>
        <v>66</v>
      </c>
      <c r="G7" s="19" t="n">
        <f aca="false">ROUNDDOWN((G5*$B2)/$B3,0)</f>
        <v>83</v>
      </c>
      <c r="H7" s="19" t="n">
        <f aca="false">ROUNDDOWN((H5*$B2)/$B3,0)</f>
        <v>100</v>
      </c>
    </row>
    <row r="11" customFormat="false" ht="12.8" hidden="false" customHeight="false" outlineLevel="0" collapsed="false">
      <c r="A11" s="19" t="s">
        <v>345</v>
      </c>
    </row>
    <row r="15" customFormat="false" ht="12.8" hidden="false" customHeight="false" outlineLevel="0" collapsed="false">
      <c r="A15" s="19" t="n">
        <v>0</v>
      </c>
      <c r="B15" s="19" t="str">
        <f aca="false">"i"&amp;A15&amp;"=VODKA&amp;m"&amp;A15&amp;"=10"</f>
        <v>i0=VODKA&amp;m0=10</v>
      </c>
    </row>
    <row r="16" customFormat="false" ht="12.8" hidden="false" customHeight="false" outlineLevel="0" collapsed="false">
      <c r="A16" s="19" t="n">
        <v>1</v>
      </c>
      <c r="B16" s="19" t="str">
        <f aca="false">"i"&amp;A16&amp;"=VODKA&amp;m"&amp;A16&amp;"=10"</f>
        <v>i1=VODKA&amp;m1=10</v>
      </c>
    </row>
    <row r="17" customFormat="false" ht="12.8" hidden="false" customHeight="false" outlineLevel="0" collapsed="false">
      <c r="A17" s="19" t="n">
        <f aca="false">A16+1</f>
        <v>2</v>
      </c>
      <c r="B17" s="19" t="str">
        <f aca="false">"i"&amp;A17&amp;"=VODKA&amp;m"&amp;A17&amp;"=10"</f>
        <v>i2=VODKA&amp;m2=10</v>
      </c>
    </row>
    <row r="18" customFormat="false" ht="12.8" hidden="false" customHeight="false" outlineLevel="0" collapsed="false">
      <c r="A18" s="19" t="n">
        <f aca="false">A17+1</f>
        <v>3</v>
      </c>
      <c r="B18" s="19" t="str">
        <f aca="false">"i"&amp;A18&amp;"=VODKA&amp;m"&amp;A18&amp;"=10"</f>
        <v>i3=VODKA&amp;m3=10</v>
      </c>
    </row>
    <row r="19" customFormat="false" ht="12.8" hidden="false" customHeight="false" outlineLevel="0" collapsed="false">
      <c r="A19" s="19" t="n">
        <f aca="false">A18+1</f>
        <v>4</v>
      </c>
      <c r="B19" s="19" t="str">
        <f aca="false">"i"&amp;A19&amp;"=VODKA&amp;m"&amp;A19&amp;"=10"</f>
        <v>i4=VODKA&amp;m4=10</v>
      </c>
    </row>
    <row r="20" customFormat="false" ht="12.8" hidden="false" customHeight="false" outlineLevel="0" collapsed="false">
      <c r="A20" s="19" t="n">
        <f aca="false">A19+1</f>
        <v>5</v>
      </c>
      <c r="B20" s="19" t="str">
        <f aca="false">"i"&amp;A20&amp;"=VODKA&amp;m"&amp;A20&amp;"=10"</f>
        <v>i5=VODKA&amp;m5=10</v>
      </c>
    </row>
    <row r="21" customFormat="false" ht="12.8" hidden="false" customHeight="false" outlineLevel="0" collapsed="false">
      <c r="A21" s="19" t="n">
        <f aca="false">A20+1</f>
        <v>6</v>
      </c>
      <c r="B21" s="19" t="str">
        <f aca="false">"i"&amp;A21&amp;"=VODKA&amp;m"&amp;A21&amp;"=10"</f>
        <v>i6=VODKA&amp;m6=10</v>
      </c>
    </row>
    <row r="22" customFormat="false" ht="12.8" hidden="false" customHeight="false" outlineLevel="0" collapsed="false">
      <c r="A22" s="19" t="n">
        <f aca="false">A21+1</f>
        <v>7</v>
      </c>
      <c r="B22" s="19" t="str">
        <f aca="false">"i"&amp;A22&amp;"=VODKA&amp;m"&amp;A22&amp;"=10"</f>
        <v>i7=VODKA&amp;m7=10</v>
      </c>
    </row>
    <row r="23" customFormat="false" ht="12.8" hidden="false" customHeight="false" outlineLevel="0" collapsed="false">
      <c r="B23" s="19" t="str">
        <f aca="false">_xlfn.CONCAT("http://192.168.1.200/set?m=test&amp;",B15,B16,B17,B18,B19,B20,B21,B22)</f>
        <v>http://192.168.1.200/set?m=test&amp;i0=VODKA&amp;m0=10i1=VODKA&amp;m1=10i2=VODKA&amp;m2=10i3=VODKA&amp;m3=10i4=VODKA&amp;m4=10i5=VODKA&amp;m5=10i6=VODKA&amp;m6=10i7=VODKA&amp;m7=10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19" width="11.53"/>
    <col collapsed="false" customWidth="true" hidden="false" outlineLevel="0" max="4" min="4" style="19" width="2.88"/>
    <col collapsed="false" customWidth="false" hidden="false" outlineLevel="0" max="6" min="5" style="19" width="11.53"/>
    <col collapsed="false" customWidth="true" hidden="false" outlineLevel="0" max="7" min="7" style="19" width="80.95"/>
    <col collapsed="false" customWidth="false" hidden="false" outlineLevel="0" max="16384" min="16" style="19" width="11.53"/>
  </cols>
  <sheetData>
    <row r="1" customFormat="false" ht="12.8" hidden="false" customHeight="false" outlineLevel="0" collapsed="false">
      <c r="B1" s="19" t="s">
        <v>346</v>
      </c>
      <c r="C1" s="19" t="s">
        <v>347</v>
      </c>
      <c r="E1" s="37" t="s">
        <v>348</v>
      </c>
      <c r="F1" s="37" t="s">
        <v>349</v>
      </c>
      <c r="G1" s="37" t="s">
        <v>350</v>
      </c>
    </row>
    <row r="2" customFormat="false" ht="12.8" hidden="false" customHeight="false" outlineLevel="0" collapsed="false">
      <c r="A2" s="19" t="s">
        <v>351</v>
      </c>
      <c r="B2" s="30" t="n">
        <f aca="false">AVERAGE(F2:F12)</f>
        <v>52.7272727272727</v>
      </c>
      <c r="C2" s="30" t="n">
        <v>50</v>
      </c>
      <c r="E2" s="19" t="n">
        <v>700</v>
      </c>
      <c r="F2" s="19" t="n">
        <v>46</v>
      </c>
      <c r="G2" s="38" t="str">
        <f aca="false">"["&amp;"("&amp;E2&amp;","&amp;F2&amp;")"&amp;IF(G3="","",","&amp;G3)&amp;"]"</f>
        <v>[(700,46),(654,50),(604,53),(551,53),(498,54),(444,54),(390,55),(335,55),(280,54),(226,54),(172,52)]</v>
      </c>
    </row>
    <row r="3" customFormat="false" ht="12.8" hidden="false" customHeight="false" outlineLevel="0" collapsed="false">
      <c r="A3" s="19" t="s">
        <v>352</v>
      </c>
      <c r="B3" s="30" t="n">
        <v>42</v>
      </c>
      <c r="C3" s="19" t="n">
        <f aca="false">ROUND((B3/B2)*C2,1)</f>
        <v>39.8</v>
      </c>
      <c r="E3" s="19" t="n">
        <f aca="false">E2-F2</f>
        <v>654</v>
      </c>
      <c r="F3" s="19" t="n">
        <v>50</v>
      </c>
      <c r="G3" s="39" t="str">
        <f aca="false">"("&amp;E3&amp;","&amp;F3&amp;")"&amp;IF(G4="","",","&amp;G4)</f>
        <v>(654,50),(604,53),(551,53),(498,54),(444,54),(390,55),(335,55),(280,54),(226,54),(172,52)</v>
      </c>
    </row>
    <row r="4" customFormat="false" ht="12.8" hidden="false" customHeight="false" outlineLevel="0" collapsed="false">
      <c r="C4" s="19" t="n">
        <f aca="false">ROUND(B2/B3*C3,2)</f>
        <v>49.97</v>
      </c>
      <c r="E4" s="19" t="n">
        <f aca="false">E3-F3</f>
        <v>604</v>
      </c>
      <c r="F4" s="19" t="n">
        <v>53</v>
      </c>
      <c r="G4" s="39" t="str">
        <f aca="false">"("&amp;E4&amp;","&amp;F4&amp;")"&amp;IF(G5="","",","&amp;G5)</f>
        <v>(604,53),(551,53),(498,54),(444,54),(390,55),(335,55),(280,54),(226,54),(172,52)</v>
      </c>
    </row>
    <row r="5" customFormat="false" ht="12.8" hidden="false" customHeight="false" outlineLevel="0" collapsed="false">
      <c r="E5" s="19" t="n">
        <f aca="false">E4-F4</f>
        <v>551</v>
      </c>
      <c r="F5" s="19" t="n">
        <v>53</v>
      </c>
      <c r="G5" s="39" t="str">
        <f aca="false">"("&amp;E5&amp;","&amp;F5&amp;")"&amp;IF(G6="","",","&amp;G6)</f>
        <v>(551,53),(498,54),(444,54),(390,55),(335,55),(280,54),(226,54),(172,52)</v>
      </c>
    </row>
    <row r="6" customFormat="false" ht="12.8" hidden="false" customHeight="false" outlineLevel="0" collapsed="false">
      <c r="B6" s="19" t="s">
        <v>346</v>
      </c>
      <c r="C6" s="19" t="s">
        <v>347</v>
      </c>
      <c r="E6" s="19" t="n">
        <f aca="false">E5-F5</f>
        <v>498</v>
      </c>
      <c r="F6" s="19" t="n">
        <v>54</v>
      </c>
      <c r="G6" s="39" t="str">
        <f aca="false">"("&amp;E6&amp;","&amp;F6&amp;")"&amp;IF(G7="","",","&amp;G7)</f>
        <v>(498,54),(444,54),(390,55),(335,55),(280,54),(226,54),(172,52)</v>
      </c>
    </row>
    <row r="7" customFormat="false" ht="12.8" hidden="false" customHeight="false" outlineLevel="0" collapsed="false">
      <c r="A7" s="19" t="s">
        <v>351</v>
      </c>
      <c r="B7" s="30" t="n">
        <f aca="false">AVERAGE(F14:F19)</f>
        <v>98.8333333333333</v>
      </c>
      <c r="C7" s="30" t="n">
        <v>100</v>
      </c>
      <c r="E7" s="19" t="n">
        <f aca="false">E6-F6</f>
        <v>444</v>
      </c>
      <c r="F7" s="19" t="n">
        <v>54</v>
      </c>
      <c r="G7" s="39" t="str">
        <f aca="false">"("&amp;E7&amp;","&amp;F7&amp;")"&amp;IF(G8="","",","&amp;G8)</f>
        <v>(444,54),(390,55),(335,55),(280,54),(226,54),(172,52)</v>
      </c>
    </row>
    <row r="8" customFormat="false" ht="12.8" hidden="false" customHeight="false" outlineLevel="0" collapsed="false">
      <c r="A8" s="19" t="s">
        <v>352</v>
      </c>
      <c r="B8" s="30" t="n">
        <v>45</v>
      </c>
      <c r="C8" s="19" t="n">
        <f aca="false">ROUND((B8/B7)*C7,1)</f>
        <v>45.5</v>
      </c>
      <c r="E8" s="19" t="n">
        <f aca="false">E7-F7</f>
        <v>390</v>
      </c>
      <c r="F8" s="19" t="n">
        <v>55</v>
      </c>
      <c r="G8" s="39" t="str">
        <f aca="false">"("&amp;E8&amp;","&amp;F8&amp;")"&amp;IF(G9="","",","&amp;G9)</f>
        <v>(390,55),(335,55),(280,54),(226,54),(172,52)</v>
      </c>
    </row>
    <row r="9" customFormat="false" ht="12.8" hidden="false" customHeight="false" outlineLevel="0" collapsed="false">
      <c r="C9" s="19" t="n">
        <f aca="false">ROUND(B7/B8*C8,2)</f>
        <v>99.93</v>
      </c>
      <c r="E9" s="19" t="n">
        <f aca="false">E8-F8</f>
        <v>335</v>
      </c>
      <c r="F9" s="19" t="n">
        <v>55</v>
      </c>
      <c r="G9" s="39" t="str">
        <f aca="false">"("&amp;E9&amp;","&amp;F9&amp;")"&amp;IF(G10="","",","&amp;G10)</f>
        <v>(335,55),(280,54),(226,54),(172,52)</v>
      </c>
    </row>
    <row r="10" customFormat="false" ht="12.8" hidden="false" customHeight="false" outlineLevel="0" collapsed="false">
      <c r="E10" s="19" t="n">
        <f aca="false">E9-F9</f>
        <v>280</v>
      </c>
      <c r="F10" s="19" t="n">
        <v>54</v>
      </c>
      <c r="G10" s="39" t="str">
        <f aca="false">"("&amp;E10&amp;","&amp;F10&amp;")"&amp;IF(G11="","",","&amp;G11)</f>
        <v>(280,54),(226,54),(172,52)</v>
      </c>
    </row>
    <row r="11" customFormat="false" ht="12.8" hidden="false" customHeight="false" outlineLevel="0" collapsed="false">
      <c r="B11" s="19" t="s">
        <v>346</v>
      </c>
      <c r="C11" s="19" t="s">
        <v>347</v>
      </c>
      <c r="E11" s="19" t="n">
        <f aca="false">E10-F10</f>
        <v>226</v>
      </c>
      <c r="F11" s="19" t="n">
        <v>54</v>
      </c>
      <c r="G11" s="39" t="str">
        <f aca="false">"("&amp;E11&amp;","&amp;F11&amp;")"&amp;IF(G12="","",","&amp;G12)</f>
        <v>(226,54),(172,52)</v>
      </c>
    </row>
    <row r="12" customFormat="false" ht="12.8" hidden="false" customHeight="false" outlineLevel="0" collapsed="false">
      <c r="A12" s="19" t="s">
        <v>351</v>
      </c>
      <c r="B12" s="30" t="n">
        <f aca="false">AVERAGE(F21:F24)</f>
        <v>145</v>
      </c>
      <c r="C12" s="30" t="n">
        <v>150</v>
      </c>
      <c r="E12" s="19" t="n">
        <f aca="false">E11-F11</f>
        <v>172</v>
      </c>
      <c r="F12" s="19" t="n">
        <v>52</v>
      </c>
      <c r="G12" s="39" t="str">
        <f aca="false">"("&amp;E12&amp;","&amp;F12&amp;")"&amp;IF(G13="","",","&amp;G13)</f>
        <v>(172,52)</v>
      </c>
    </row>
    <row r="13" customFormat="false" ht="12.8" hidden="false" customHeight="false" outlineLevel="0" collapsed="false">
      <c r="A13" s="19" t="s">
        <v>352</v>
      </c>
      <c r="B13" s="30" t="n">
        <v>42</v>
      </c>
      <c r="C13" s="19" t="n">
        <f aca="false">ROUND((B13/B12)*C12,1)</f>
        <v>43.4</v>
      </c>
    </row>
    <row r="14" customFormat="false" ht="12.8" hidden="false" customHeight="false" outlineLevel="0" collapsed="false">
      <c r="C14" s="19" t="n">
        <f aca="false">ROUND(B12/B13*C13,2)</f>
        <v>149.83</v>
      </c>
      <c r="E14" s="19" t="n">
        <v>700</v>
      </c>
      <c r="F14" s="19" t="n">
        <v>90</v>
      </c>
      <c r="G14" s="38" t="str">
        <f aca="false">"["&amp;"("&amp;E14&amp;","&amp;F14&amp;")"&amp;IF(G15="","",","&amp;G15)&amp;"]"</f>
        <v>[(700,90),(610,99),(511,101),(410,102),(308,102),(206,99)]</v>
      </c>
    </row>
    <row r="15" customFormat="false" ht="12.8" hidden="false" customHeight="false" outlineLevel="0" collapsed="false">
      <c r="E15" s="19" t="n">
        <f aca="false">E14-F14</f>
        <v>610</v>
      </c>
      <c r="F15" s="19" t="n">
        <v>99</v>
      </c>
      <c r="G15" s="39" t="str">
        <f aca="false">"("&amp;E15&amp;","&amp;F15&amp;")"&amp;IF(G16="","",","&amp;G16)</f>
        <v>(610,99),(511,101),(410,102),(308,102),(206,99)</v>
      </c>
    </row>
    <row r="16" customFormat="false" ht="12.8" hidden="false" customHeight="false" outlineLevel="0" collapsed="false">
      <c r="B16" s="19" t="s">
        <v>346</v>
      </c>
      <c r="C16" s="19" t="s">
        <v>347</v>
      </c>
      <c r="E16" s="19" t="n">
        <f aca="false">E15-F15</f>
        <v>511</v>
      </c>
      <c r="F16" s="19" t="n">
        <v>101</v>
      </c>
      <c r="G16" s="39" t="str">
        <f aca="false">"("&amp;E16&amp;","&amp;F16&amp;")"&amp;IF(G17="","",","&amp;G17)</f>
        <v>(511,101),(410,102),(308,102),(206,99)</v>
      </c>
    </row>
    <row r="17" customFormat="false" ht="12.8" hidden="false" customHeight="false" outlineLevel="0" collapsed="false">
      <c r="A17" s="19" t="s">
        <v>351</v>
      </c>
      <c r="B17" s="30" t="n">
        <f aca="false">AVERAGE(F26:F28)</f>
        <v>192.333333333333</v>
      </c>
      <c r="C17" s="30" t="n">
        <v>200</v>
      </c>
      <c r="E17" s="19" t="n">
        <f aca="false">E16-F16</f>
        <v>410</v>
      </c>
      <c r="F17" s="19" t="n">
        <v>102</v>
      </c>
      <c r="G17" s="39" t="str">
        <f aca="false">"("&amp;E17&amp;","&amp;F17&amp;")"&amp;IF(G18="","",","&amp;G18)</f>
        <v>(410,102),(308,102),(206,99)</v>
      </c>
    </row>
    <row r="18" customFormat="false" ht="12.8" hidden="false" customHeight="false" outlineLevel="0" collapsed="false">
      <c r="A18" s="19" t="s">
        <v>352</v>
      </c>
      <c r="B18" s="30" t="n">
        <v>45</v>
      </c>
      <c r="C18" s="19" t="n">
        <f aca="false">ROUND((B18/B17)*C17,1)</f>
        <v>46.8</v>
      </c>
      <c r="E18" s="19" t="n">
        <f aca="false">E17-F17</f>
        <v>308</v>
      </c>
      <c r="F18" s="19" t="n">
        <v>102</v>
      </c>
      <c r="G18" s="39" t="str">
        <f aca="false">"("&amp;E18&amp;","&amp;F18&amp;")"&amp;IF(G19="","",","&amp;G19)</f>
        <v>(308,102),(206,99)</v>
      </c>
    </row>
    <row r="19" customFormat="false" ht="12.8" hidden="false" customHeight="false" outlineLevel="0" collapsed="false">
      <c r="C19" s="19" t="n">
        <f aca="false">ROUND(B17/B18*C18,2)</f>
        <v>200.03</v>
      </c>
      <c r="E19" s="19" t="n">
        <f aca="false">E18-F18</f>
        <v>206</v>
      </c>
      <c r="F19" s="19" t="n">
        <v>99</v>
      </c>
      <c r="G19" s="39" t="str">
        <f aca="false">"("&amp;E19&amp;","&amp;F19&amp;")"&amp;IF(G20="","",","&amp;G20)</f>
        <v>(206,99)</v>
      </c>
    </row>
    <row r="21" customFormat="false" ht="12.8" hidden="false" customHeight="false" outlineLevel="0" collapsed="false">
      <c r="A21" s="19" t="s">
        <v>353</v>
      </c>
      <c r="B21" s="30" t="n">
        <v>700</v>
      </c>
      <c r="E21" s="19" t="n">
        <v>700</v>
      </c>
      <c r="F21" s="19" t="n">
        <v>139</v>
      </c>
      <c r="G21" s="38" t="str">
        <f aca="false">"["&amp;"("&amp;E21&amp;","&amp;F21&amp;")"&amp;IF(G22="","",","&amp;G22)&amp;"]"</f>
        <v>[(700,139),(561,149),(412,143),(269,149)]</v>
      </c>
    </row>
    <row r="22" customFormat="false" ht="12.8" hidden="false" customHeight="false" outlineLevel="0" collapsed="false">
      <c r="A22" s="19" t="s">
        <v>354</v>
      </c>
      <c r="B22" s="30" t="n">
        <v>200</v>
      </c>
      <c r="E22" s="19" t="n">
        <f aca="false">E21-F21</f>
        <v>561</v>
      </c>
      <c r="F22" s="19" t="n">
        <v>149</v>
      </c>
      <c r="G22" s="39" t="str">
        <f aca="false">"("&amp;E22&amp;","&amp;F22&amp;")"&amp;IF(G23="","",","&amp;G23)</f>
        <v>(561,149),(412,143),(269,149)</v>
      </c>
    </row>
    <row r="23" customFormat="false" ht="12.8" hidden="false" customHeight="false" outlineLevel="0" collapsed="false">
      <c r="A23" s="19" t="s">
        <v>355</v>
      </c>
      <c r="B23" s="30" t="n">
        <v>46</v>
      </c>
      <c r="E23" s="19" t="n">
        <f aca="false">E22-F22</f>
        <v>412</v>
      </c>
      <c r="F23" s="19" t="n">
        <v>143</v>
      </c>
      <c r="G23" s="39" t="str">
        <f aca="false">"("&amp;E23&amp;","&amp;F23&amp;")"&amp;IF(G24="","",","&amp;G24)</f>
        <v>(412,143),(269,149)</v>
      </c>
    </row>
    <row r="24" customFormat="false" ht="12.8" hidden="false" customHeight="false" outlineLevel="0" collapsed="false">
      <c r="A24" s="19" t="s">
        <v>356</v>
      </c>
      <c r="B24" s="19" t="n">
        <f aca="false">B23*B22</f>
        <v>9200</v>
      </c>
      <c r="E24" s="19" t="n">
        <f aca="false">E23-F23</f>
        <v>269</v>
      </c>
      <c r="F24" s="19" t="n">
        <v>149</v>
      </c>
      <c r="G24" s="39" t="str">
        <f aca="false">"("&amp;E24&amp;","&amp;F24&amp;")"&amp;IF(G25="","",","&amp;G25)</f>
        <v>(269,149)</v>
      </c>
    </row>
    <row r="25" customFormat="false" ht="12.8" hidden="false" customHeight="false" outlineLevel="0" collapsed="false">
      <c r="A25" s="19" t="s">
        <v>357</v>
      </c>
      <c r="B25" s="19" t="n">
        <f aca="false">-(((269 / 200) - 1) / (700 - 300)) * (B21 - 300) + 1</f>
        <v>0.655</v>
      </c>
      <c r="C25" s="40"/>
    </row>
    <row r="26" customFormat="false" ht="12.8" hidden="false" customHeight="false" outlineLevel="0" collapsed="false">
      <c r="A26" s="19" t="s">
        <v>358</v>
      </c>
      <c r="B26" s="38" t="n">
        <f aca="false">B25*B24</f>
        <v>6026</v>
      </c>
      <c r="E26" s="19" t="n">
        <v>700</v>
      </c>
      <c r="F26" s="19" t="n">
        <v>183</v>
      </c>
      <c r="G26" s="38" t="str">
        <f aca="false">"["&amp;"("&amp;E26&amp;","&amp;F26&amp;")"&amp;IF(G27="","",","&amp;G27)&amp;"]"</f>
        <v>[(700,183),(517,195),(322,199)]</v>
      </c>
    </row>
    <row r="27" customFormat="false" ht="12.8" hidden="false" customHeight="false" outlineLevel="0" collapsed="false">
      <c r="E27" s="19" t="n">
        <f aca="false">E26-F26</f>
        <v>517</v>
      </c>
      <c r="F27" s="19" t="n">
        <v>195</v>
      </c>
      <c r="G27" s="39" t="str">
        <f aca="false">"("&amp;E27&amp;","&amp;F27&amp;")"&amp;IF(G28="","",","&amp;G28)</f>
        <v>(517,195),(322,199)</v>
      </c>
    </row>
    <row r="28" customFormat="false" ht="12.8" hidden="false" customHeight="false" outlineLevel="0" collapsed="false">
      <c r="E28" s="19" t="n">
        <f aca="false">E27-F27</f>
        <v>322</v>
      </c>
      <c r="F28" s="19" t="n">
        <v>199</v>
      </c>
      <c r="G28" s="39" t="str">
        <f aca="false">"("&amp;E28&amp;","&amp;F28&amp;")"&amp;IF(G43="","",","&amp;G43)</f>
        <v>(322,199)</v>
      </c>
    </row>
    <row r="29" customFormat="false" ht="12.8" hidden="false" customHeight="false" outlineLevel="0" collapsed="false">
      <c r="E29" s="37"/>
      <c r="F29" s="37"/>
      <c r="G29" s="37"/>
    </row>
    <row r="30" customFormat="false" ht="12.8" hidden="false" customHeight="false" outlineLevel="0" collapsed="false">
      <c r="E30" s="37"/>
      <c r="F30" s="37"/>
      <c r="G30" s="37"/>
    </row>
    <row r="31" customFormat="false" ht="12.8" hidden="false" customHeight="false" outlineLevel="0" collapsed="false">
      <c r="E31" s="37"/>
      <c r="F31" s="37"/>
      <c r="G31" s="37"/>
    </row>
    <row r="32" customFormat="false" ht="12.8" hidden="false" customHeight="false" outlineLevel="0" collapsed="false">
      <c r="C32" s="40"/>
      <c r="E32" s="37"/>
      <c r="F32" s="37"/>
      <c r="G32" s="37"/>
    </row>
    <row r="33" customFormat="false" ht="12.8" hidden="false" customHeight="false" outlineLevel="0" collapsed="false">
      <c r="E33" s="37"/>
      <c r="F33" s="37"/>
      <c r="G33" s="37"/>
    </row>
    <row r="34" customFormat="false" ht="12.8" hidden="false" customHeight="false" outlineLevel="0" collapsed="false">
      <c r="E34" s="37"/>
      <c r="F34" s="37"/>
      <c r="G34" s="37"/>
    </row>
    <row r="35" customFormat="false" ht="12.8" hidden="false" customHeight="false" outlineLevel="0" collapsed="false">
      <c r="E35" s="37"/>
      <c r="F35" s="37"/>
      <c r="G35" s="37"/>
    </row>
    <row r="36" customFormat="false" ht="12.8" hidden="false" customHeight="false" outlineLevel="0" collapsed="false">
      <c r="E36" s="37"/>
      <c r="F36" s="37"/>
      <c r="G36" s="37"/>
    </row>
    <row r="37" customFormat="false" ht="12.8" hidden="false" customHeight="false" outlineLevel="0" collapsed="false">
      <c r="C37" s="40"/>
      <c r="E37" s="37"/>
      <c r="F37" s="37"/>
      <c r="G37" s="37"/>
    </row>
    <row r="38" customFormat="false" ht="12.8" hidden="false" customHeight="false" outlineLevel="0" collapsed="false">
      <c r="E38" s="37"/>
      <c r="F38" s="37"/>
      <c r="G38" s="37"/>
    </row>
    <row r="39" customFormat="false" ht="12.8" hidden="false" customHeight="false" outlineLevel="0" collapsed="false">
      <c r="E39" s="37"/>
      <c r="F39" s="37"/>
      <c r="G39" s="37"/>
    </row>
    <row r="40" customFormat="false" ht="12.8" hidden="false" customHeight="false" outlineLevel="0" collapsed="false">
      <c r="C40" s="40"/>
      <c r="E40" s="37"/>
      <c r="F40" s="37"/>
      <c r="G40" s="37"/>
    </row>
    <row r="41" customFormat="false" ht="12.8" hidden="false" customHeight="false" outlineLevel="0" collapsed="false">
      <c r="C41" s="40"/>
      <c r="E41" s="37"/>
      <c r="F41" s="37"/>
      <c r="G41" s="37"/>
    </row>
    <row r="42" customFormat="false" ht="12.8" hidden="false" customHeight="false" outlineLevel="0" collapsed="false">
      <c r="E42" s="37"/>
      <c r="F42" s="37"/>
      <c r="G42" s="3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2026-09-27T08:36:55Z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