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BOM" sheetId="1" state="visible" r:id="rId3"/>
    <sheet name="Pinout" sheetId="2" state="visible" r:id="rId4"/>
    <sheet name="Drinks" sheetId="3" state="visible" r:id="rId5"/>
    <sheet name="Fluids" sheetId="4" state="visible" r:id="rId6"/>
    <sheet name="Glasses &amp; #s" sheetId="5" state="visible" r:id="rId7"/>
    <sheet name="Calc" sheetId="6" state="visible" r:id="rId8"/>
    <sheet name="Led section" sheetId="7" state="visible" r:id="rId9"/>
    <sheet name="Calibrate msml" sheetId="8" state="visible" r:id="rId10"/>
  </sheets>
  <definedNames>
    <definedName function="false" hidden="false" name="ColNames" vbProcedure="false">Fluids!$C$2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<sst xmlns="http://schemas.openxmlformats.org/spreadsheetml/2006/main" count="809" uniqueCount="356">
  <si>
    <t xml:space="preserve">Description</t>
  </si>
  <si>
    <t xml:space="preserve">Amount</t>
  </si>
  <si>
    <t xml:space="preserve">Comments</t>
  </si>
  <si>
    <t xml:space="preserve">Link buy</t>
  </si>
  <si>
    <t xml:space="preserve">Link info</t>
  </si>
  <si>
    <t xml:space="preserve">Piece price</t>
  </si>
  <si>
    <t xml:space="preserve">Shipping</t>
  </si>
  <si>
    <t xml:space="preserve">Total</t>
  </si>
  <si>
    <t xml:space="preserve">---</t>
  </si>
  <si>
    <t xml:space="preserve">Peristaltic Pump,12V (We use zy-1000f5)</t>
  </si>
  <si>
    <t xml:space="preserve">Only needed for carbonated liquids</t>
  </si>
  <si>
    <t xml:space="preserve">https://www.banggood.com/500mL-or-min-Large-Flow-Easy-To-Install-Peristaltic-Pump-12V-or-24V-Metering-Vacuum-Pump-Flat-Type-Aquarium-p-1749029.html https://nl.aliexpress.com/item/1005004441796531.html?spm=a2g0o.order_list.0.0.d52c79d2o45Zo0&amp;gatewayAdapt=glo2nld</t>
  </si>
  <si>
    <t xml:space="preserve">https://youtu.be/AMiXme4bMUk</t>
  </si>
  <si>
    <t xml:space="preserve">Pullys</t>
  </si>
  <si>
    <t xml:space="preserve">https://www.123-3d.nl/123-3D-GT2-Pulley-hoge-resolutie-met-lager-6-mm-riem-20-tanden-5-mm-as-zwart-i2546-t0.html</t>
  </si>
  <si>
    <t xml:space="preserve"> </t>
  </si>
  <si>
    <t xml:space="preserve">Motor pullys</t>
  </si>
  <si>
    <t xml:space="preserve">https://www.123-3d.nl/123-3D-GT2-Pulley-hoge-resolutie-6-mm-riem-20-tanden-5-mm-as-zwart-400211009-i2547-t0.html</t>
  </si>
  <si>
    <t xml:space="preserve">Reininforced belt 6mm wide</t>
  </si>
  <si>
    <t xml:space="preserve">2.7m needed</t>
  </si>
  <si>
    <t xml:space="preserve">https://www.123-3d.nl/123-3D-GT2-timing-belt-6-mm-5-meter-i6541-t3046.html</t>
  </si>
  <si>
    <t xml:space="preserve">Leadscrew moer, TR8x8</t>
  </si>
  <si>
    <t xml:space="preserve">https://www.123-3d.nl/123-3D-Leadscrew-moer-TR8x8-i1560-t0.html</t>
  </si>
  <si>
    <t xml:space="preserve">Leadscrew, TR8x8, 8 mm</t>
  </si>
  <si>
    <t xml:space="preserve">This one is 30cm, unsure what we need</t>
  </si>
  <si>
    <t xml:space="preserve">https://www.123-3d.nl/123-3D-Leadscrew-TR8x8-8-mm-30-cm-i1558-t0.html</t>
  </si>
  <si>
    <t xml:space="preserve">Staaf as glad 8 m</t>
  </si>
  <si>
    <t xml:space="preserve">This one is 100cm, unsure what we need</t>
  </si>
  <si>
    <t xml:space="preserve">https://www.123-3d.nl/123-3D-Staaf-as-glad-8-mm-x-100-cm-voor-X-of-Y-as-i56-t0.html</t>
  </si>
  <si>
    <t xml:space="preserve">Flexibele motor koppeling 5 mm - 8 mm</t>
  </si>
  <si>
    <t xml:space="preserve">https://www.123-3d.nl/123-3D-Flexibele-motor-koppeling-5-mm-8-mm-i342-t0.html</t>
  </si>
  <si>
    <t xml:space="preserve">Frame end caps 2020 (3d print)</t>
  </si>
  <si>
    <t xml:space="preserve">Print in black</t>
  </si>
  <si>
    <t xml:space="preserve">https://www.thingiverse.com/thing:2393904</t>
  </si>
  <si>
    <t xml:space="preserve">Drink dispensers (6 way)</t>
  </si>
  <si>
    <t xml:space="preserve">Spraypaint black</t>
  </si>
  <si>
    <t xml:space="preserve">https://www.bol.com/nl/nl/p/white-rhinoceros-drank-dispenser-bar-butler-shots-muurdispenser-voor-6-flessen/9300000007705748/?Referrer=ENTcli_order_confirmation2008093611</t>
  </si>
  <si>
    <t xml:space="preserve">V frame (black 1500mm)</t>
  </si>
  <si>
    <t xml:space="preserve">Cut in sizes: 2x750 + 2x353.5 + 2x396.5mm</t>
  </si>
  <si>
    <t xml:space="preserve">https://www.ratrig.com/aluminium-profiles/vslot/v-slot-2020-637.html</t>
  </si>
  <si>
    <t xml:space="preserve">Frame corner profiles</t>
  </si>
  <si>
    <t xml:space="preserve">https://nl.aliexpress.com/item/1005003618509458.html</t>
  </si>
  <si>
    <t xml:space="preserve">Wood (Gamma)</t>
  </si>
  <si>
    <t xml:space="preserve">2x30x80cm</t>
  </si>
  <si>
    <t xml:space="preserve">16x2 LCD Display I2C</t>
  </si>
  <si>
    <t xml:space="preserve">https://elektronicavoorjou.nl/product/16x2-lcd-wit-op-blauw-5v-met-i2c/</t>
  </si>
  <si>
    <t xml:space="preserve">M3x10</t>
  </si>
  <si>
    <t xml:space="preserve">https://www.indi.nl/nl-nl/p/Cilindrische-inbusbout-M3x10-12.9-zwart-DIN912-912310129B</t>
  </si>
  <si>
    <t xml:space="preserve">M3x30</t>
  </si>
  <si>
    <t xml:space="preserve">https://www.indi.nl/nl-nl/p/Cilindrische-inbusbout-M3x30-12.9-zwart-DIN912-912330129B</t>
  </si>
  <si>
    <t xml:space="preserve">M5x10</t>
  </si>
  <si>
    <t xml:space="preserve">https://www.indi.nl/nl-nl/p/Cilindrische-inbusbout-M5x10-12.9-zwart-DIN912-912510129B</t>
  </si>
  <si>
    <t xml:space="preserve">M5x20</t>
  </si>
  <si>
    <t xml:space="preserve">https://www.indi.nl/nl-nl/p/Cilindrische-inbusbout-M5x20-12.9-zwart-DIN912-912520129B</t>
  </si>
  <si>
    <t xml:space="preserve">M5x30</t>
  </si>
  <si>
    <t xml:space="preserve">https://www.indi.nl/nl-nl/p/Cilindrische-inbusbout-M5x30-12.9-zwart-DIN912-912530129B</t>
  </si>
  <si>
    <t xml:space="preserve">M5x40</t>
  </si>
  <si>
    <t xml:space="preserve">https://www.indi.nl/nl-nl/p/Cilindrische-inbusbout-M5x40-12.9-zwart-DIN912-912540129B</t>
  </si>
  <si>
    <t xml:space="preserve">M5x50</t>
  </si>
  <si>
    <t xml:space="preserve">https://www.indi.nl/nl-nl/p/Cilindrische-inbusbout-M5X50-12.9-zwart-DIN912-912550129B</t>
  </si>
  <si>
    <t xml:space="preserve">M5x60</t>
  </si>
  <si>
    <t xml:space="preserve">https://www.indi.nl/nl-nl/p/Cilindrische-inbusbout-M5x60-12.9-zwart-DIN912-912560129B</t>
  </si>
  <si>
    <t xml:space="preserve">M5x80</t>
  </si>
  <si>
    <t xml:space="preserve">https://www.indi.nl/nl-nl/p/Cilindrische-inbusbout-M5x80-12.9-zwart-DIN912-912580129B</t>
  </si>
  <si>
    <t xml:space="preserve">Moer</t>
  </si>
  <si>
    <t xml:space="preserve">https://www.indi.nl/nl-nl/p/Zeskantmoer-M5-klasse-8-verzinkt-DIN934-9345P100</t>
  </si>
  <si>
    <t xml:space="preserve">Borgmoer</t>
  </si>
  <si>
    <t xml:space="preserve">https://www.gamma.nl/assortiment/gamma-borgmoer-m5-rvs-8-stuks/p/B458288</t>
  </si>
  <si>
    <t xml:space="preserve">V-slot wheels</t>
  </si>
  <si>
    <t xml:space="preserve">JLC PCB</t>
  </si>
  <si>
    <t xml:space="preserve">(minimum 5 pieces)</t>
  </si>
  <si>
    <t xml:space="preserve">PCB-TMC2208 motor controller</t>
  </si>
  <si>
    <t xml:space="preserve">X, Y, Z</t>
  </si>
  <si>
    <t xml:space="preserve">https://nl.aliexpress.com/item/1005004014058136.html</t>
  </si>
  <si>
    <t xml:space="preserve">https://wiki.fysetc.com/TMC2208/</t>
  </si>
  <si>
    <t xml:space="preserve">Microswitch</t>
  </si>
  <si>
    <t xml:space="preserve">Used for homing, not as limit switch</t>
  </si>
  <si>
    <t xml:space="preserve">https://www.hobbyelectronica.nl/product/endstop-mechanisch-microswitch/</t>
  </si>
  <si>
    <t xml:space="preserve">Tubing 5x7</t>
  </si>
  <si>
    <t xml:space="preserve">https://www.kiwi-electronics.com/nl/siliconen-slang-5x7mm-2-meter-10188</t>
  </si>
  <si>
    <t xml:space="preserve">Tubing 2x4</t>
  </si>
  <si>
    <t xml:space="preserve">https://www.slangenshop.nl/home/22-siliconen-slang-2-x-4-mm-.html</t>
  </si>
  <si>
    <t xml:space="preserve">Tubing 3x5</t>
  </si>
  <si>
    <t xml:space="preserve">https://www.slangenshop.nl/home/25-siliconen-slang-3-x-5-mm-.html</t>
  </si>
  <si>
    <t xml:space="preserve">Tubing 4x6</t>
  </si>
  <si>
    <t xml:space="preserve">https://www.slangenshop.nl/home/24-siliconen-slang-4-x-6-mm-.html?search_query=Siliconen+slang+4&amp;results=24</t>
  </si>
  <si>
    <t xml:space="preserve">0826B 0.5-20N 8mm</t>
  </si>
  <si>
    <t xml:space="preserve">https://www.aliexpress.com/item/1005004016711403.html?spm=a2g0o.cart.0.0.603638daNtRRN5&amp;mp=1</t>
  </si>
  <si>
    <t xml:space="preserve">1050B 4.5-50N 15mm</t>
  </si>
  <si>
    <t xml:space="preserve">Motion Film Pressure Sensor 100g</t>
  </si>
  <si>
    <t xml:space="preserve">https://www.aliexpress.com/item/32878178151.html?spm=a2g0o.cart.0.0.603638daNtRRN5&amp;mp=1</t>
  </si>
  <si>
    <t xml:space="preserve">Motion Film Pressure Sensor 1kg</t>
  </si>
  <si>
    <t xml:space="preserve">Solenoid Valve 4.5mm inner 12V</t>
  </si>
  <si>
    <t xml:space="preserve">https://www.aliexpress.com/item/1005005553905520.html?spm=a2g0o.cart.0.0.603638daNtRRN5&amp;mp=1</t>
  </si>
  <si>
    <t xml:space="preserve">SUBTOTAAL</t>
  </si>
  <si>
    <t xml:space="preserve">Steppermotor</t>
  </si>
  <si>
    <t xml:space="preserve">We actually use 1.8deg 2.4Ohm</t>
  </si>
  <si>
    <t xml:space="preserve">https://www.hobbyelectronica.nl/product/nema-17-stappen-motor-42byghw609/?gclid=CjwKCAjwzeqVBhAoEiwAOrEmzQjIdiWzwSG4m0PU8pULIl3Q7mAKpvSpVphw8W75q5Q6bFC5tXKSYxoC3OMQAvD_BwE</t>
  </si>
  <si>
    <t xml:space="preserve">Connector MTA-100-2P</t>
  </si>
  <si>
    <t xml:space="preserve">Connector MTA-100-3P</t>
  </si>
  <si>
    <t xml:space="preserve">Connector MTA-100-4P</t>
  </si>
  <si>
    <t xml:space="preserve">Connector MTA-156-2P</t>
  </si>
  <si>
    <t xml:space="preserve">PCB-MTA-100-2P</t>
  </si>
  <si>
    <t xml:space="preserve">H2,H3,H4,H11,H12,H13,H14</t>
  </si>
  <si>
    <t xml:space="preserve">PCB-MTA-100-3P</t>
  </si>
  <si>
    <t xml:space="preserve">for LED D=H5</t>
  </si>
  <si>
    <t xml:space="preserve">http://www.te.com/commerce/DocumentDelivery/DDEController?Action=srchrtrv&amp;DocNm=640454&amp;DocType=Customer+Drawing&amp;DocLang=English&amp;PartCntxt=640454-5</t>
  </si>
  <si>
    <t xml:space="preserve">PCB-MTA-100-4P</t>
  </si>
  <si>
    <t xml:space="preserve">H8, H9, H10,H16</t>
  </si>
  <si>
    <t xml:space="preserve">PCB-MTA-156-2P</t>
  </si>
  <si>
    <t xml:space="preserve">H6, H7</t>
  </si>
  <si>
    <t xml:space="preserve">PCB-L2203N</t>
  </si>
  <si>
    <t xml:space="preserve">Q1,Q2,Q3,Q4</t>
  </si>
  <si>
    <t xml:space="preserve">PCB-C0805 100nF</t>
  </si>
  <si>
    <t xml:space="preserve">C1,C2,C3,C4,C5,C6</t>
  </si>
  <si>
    <t xml:space="preserve">PCB-R0805 1k</t>
  </si>
  <si>
    <t xml:space="preserve">R1,R2,R3,R4,R5,R6,R7</t>
  </si>
  <si>
    <t xml:space="preserve">PCB-R0805 100R</t>
  </si>
  <si>
    <t xml:space="preserve">R8</t>
  </si>
  <si>
    <t xml:space="preserve">PCB-R0805 10R</t>
  </si>
  <si>
    <t xml:space="preserve">R9</t>
  </si>
  <si>
    <t xml:space="preserve">PCB-DOIT ESP32 DEVKIT V1</t>
  </si>
  <si>
    <t xml:space="preserve">U1</t>
  </si>
  <si>
    <t xml:space="preserve">PCB-R78B5020</t>
  </si>
  <si>
    <t xml:space="preserve">U2</t>
  </si>
  <si>
    <t xml:space="preserve">https://nl.farnell.com/recom-power/r-78b5-0-1-0l/dc-dc-converter-5v-1a/dp/1793162</t>
  </si>
  <si>
    <t xml:space="preserve">PCB-SIL header</t>
  </si>
  <si>
    <t xml:space="preserve">Steppers, H1</t>
  </si>
  <si>
    <t xml:space="preserve">12V power supply</t>
  </si>
  <si>
    <t xml:space="preserve">Wires</t>
  </si>
  <si>
    <t xml:space="preserve">Wire sleeves?</t>
  </si>
  <si>
    <t xml:space="preserve">PCBway Dispensers</t>
  </si>
  <si>
    <t xml:space="preserve">0805 4.7UH</t>
  </si>
  <si>
    <t xml:space="preserve">https://nl.aliexpress.com/item/1005006311167114.html?spm=a2g0o.order_list.order_list_main.5.3f8379d22lLZlI&amp;gatewayAdapt=glo2nld</t>
  </si>
  <si>
    <t xml:space="preserve">heatshrink</t>
  </si>
  <si>
    <t xml:space="preserve">https://nl.aliexpress.com/item/1005006321995370.html?spm=a2g0o.order_list.order_list_main.17.3f8379d22lLZlI&amp;gatewayAdapt=glo2nld</t>
  </si>
  <si>
    <t xml:space="preserve">Diode IN4007</t>
  </si>
  <si>
    <t xml:space="preserve">www.aliexpress.com/item/1005006852412154.html?spm=a2g0o.order_list.order_list_main.33.3f8379d22lLZlI</t>
  </si>
  <si>
    <t xml:space="preserve">ESP32 C3</t>
  </si>
  <si>
    <t xml:space="preserve">https://nl.aliexpress.com/item/1005007446928015.html?spm=a2g0o.order_list.order_list_main.70.3f8379d22lLZlI&amp;gatewayAdapt=glo2nld</t>
  </si>
  <si>
    <t xml:space="preserve">Dispenser magnet</t>
  </si>
  <si>
    <t xml:space="preserve">https://nl.aliexpress.com/item/1005006531774076.html?spm=a2g0o.order_list.order_list_main.81.3f8379d22lLZlI&amp;gatewayAdapt=glo2nld</t>
  </si>
  <si>
    <t xml:space="preserve">O-rings dispenserbold</t>
  </si>
  <si>
    <t xml:space="preserve">https://nl.aliexpress.com/item/1005008478445571.html?spm=a2g0o.order_list.order_list_main.101.3f8379d22lLZlI&amp;gatewayAdapt=glo2nld</t>
  </si>
  <si>
    <t xml:space="preserve">M5 bolt 5mm</t>
  </si>
  <si>
    <t xml:space="preserve">https://nl.aliexpress.com/item/32810872544.html?spm=a2g0o.order_list.order_list_main.140.3f8379d22lLZlI&amp;gatewayAdapt=glo2nld</t>
  </si>
  <si>
    <t xml:space="preserve">M4 bolt 10mm</t>
  </si>
  <si>
    <t xml:space="preserve">https://nl.aliexpress.com/item/32810872544.html?spm=a2g0o.order_list.order_list_main.145.3f8379d22lLZlI&amp;gatewayAdapt=glo2nld</t>
  </si>
  <si>
    <t xml:space="preserve">M3 bolt 5mm</t>
  </si>
  <si>
    <t xml:space="preserve">Capacitor 47uF </t>
  </si>
  <si>
    <t xml:space="preserve">www.aliexpress.com/item/1005002047657907.html?spm=a2g0o.order_list.order_list_main.150.3f8379d22lLZlI</t>
  </si>
  <si>
    <t xml:space="preserve">8 DIP header</t>
  </si>
  <si>
    <t xml:space="preserve">https://www.aliexpress.com/item/1005006995121970.html?spm=a2g0o.order_list.order_list_main.205.3f8379d22lLZlI</t>
  </si>
  <si>
    <t xml:space="preserve">Pin headeer</t>
  </si>
  <si>
    <t xml:space="preserve">https://nl.aliexpress.com/item/1005006149080284.html?spm=a2g0o.order_list.order_list_main.211.3f8379d22lLZlI&amp;gatewayAdapt=glo2nld</t>
  </si>
  <si>
    <t xml:space="preserve">Mini valves</t>
  </si>
  <si>
    <t xml:space="preserve">https://www.aliexpress.com/item/1005006358997795.html?spm=a2g0o.order_list.order_list_main.225.3f8379d22lLZlI</t>
  </si>
  <si>
    <t xml:space="preserve">transistor AO3416</t>
  </si>
  <si>
    <t xml:space="preserve">https://www.aliexpress.com/item/1005005013827080.html?spm=a2g0o.order_list.order_list_main.271.3f8379d22lLZlI</t>
  </si>
  <si>
    <t xml:space="preserve">Diode LL4148</t>
  </si>
  <si>
    <t xml:space="preserve">https://nl.aliexpress.com/item/1005002748966091.html?spm=a2g0o.order_list.order_list_main.280.3f8379d22lLZlI&amp;gatewayAdapt=glo2nld</t>
  </si>
  <si>
    <t xml:space="preserve">Rubber bottle end piece</t>
  </si>
  <si>
    <t xml:space="preserve">https://www.bol.com/nl/nl/p/kurk-zwart-pe-in-perfect-afsluitende-vorm-tbv-non-drips-of-maatschenkers-ten-behoeve-van-0-7-1-5-l-flessen/9200000107083693/</t>
  </si>
  <si>
    <t xml:space="preserve">3D prints</t>
  </si>
  <si>
    <t xml:space="preserve">Valve 46.008.116</t>
  </si>
  <si>
    <t xml:space="preserve">https://www.libertyshop.de/Magnetventile/A-u-K--Mueller/Blockventile----Vending/Serie-46-008-x16---Ventile/Mueller-Blockventil-1-fach-24-V-AC-46-008-116-Neue-Version.html</t>
  </si>
  <si>
    <t xml:space="preserve">TOTAAL</t>
  </si>
  <si>
    <t xml:space="preserve">GPIO</t>
  </si>
  <si>
    <t xml:space="preserve">Input</t>
  </si>
  <si>
    <t xml:space="preserve">Output</t>
  </si>
  <si>
    <t xml:space="preserve">Notes</t>
  </si>
  <si>
    <t xml:space="preserve">pulled up</t>
  </si>
  <si>
    <t xml:space="preserve">OK</t>
  </si>
  <si>
    <t xml:space="preserve">outputs PWM signal at boot</t>
  </si>
  <si>
    <t xml:space="preserve">NU</t>
  </si>
  <si>
    <t xml:space="preserve">was</t>
  </si>
  <si>
    <t xml:space="preserve">TX pin</t>
  </si>
  <si>
    <t xml:space="preserve">debug output at boot</t>
  </si>
  <si>
    <t xml:space="preserve">TX</t>
  </si>
  <si>
    <t xml:space="preserve">connected to on-board LED</t>
  </si>
  <si>
    <t xml:space="preserve">LED</t>
  </si>
  <si>
    <t xml:space="preserve">RX pin</t>
  </si>
  <si>
    <t xml:space="preserve">HIGH at boot</t>
  </si>
  <si>
    <t xml:space="preserve">RX</t>
  </si>
  <si>
    <t xml:space="preserve">PDO_X_Step</t>
  </si>
  <si>
    <t xml:space="preserve">PDI_X_Ref</t>
  </si>
  <si>
    <t xml:space="preserve">PDO_Y_Step</t>
  </si>
  <si>
    <t xml:space="preserve">boot fail if pulled high</t>
  </si>
  <si>
    <t xml:space="preserve">LED_PWM</t>
  </si>
  <si>
    <t xml:space="preserve">PDI_B</t>
  </si>
  <si>
    <t xml:space="preserve">PDI_Z_Ref</t>
  </si>
  <si>
    <t xml:space="preserve">PDO_X_Dir</t>
  </si>
  <si>
    <t xml:space="preserve">PDO_Step_enable</t>
  </si>
  <si>
    <t xml:space="preserve">PDO_Y_Dir</t>
  </si>
  <si>
    <t xml:space="preserve">PDO_Z_Dir</t>
  </si>
  <si>
    <t xml:space="preserve">PDO_Z_Step</t>
  </si>
  <si>
    <t xml:space="preserve">I2C_SDA</t>
  </si>
  <si>
    <t xml:space="preserve">I2C_SCL</t>
  </si>
  <si>
    <t xml:space="preserve">PDO_Pump3</t>
  </si>
  <si>
    <t xml:space="preserve">PDO_Pump4</t>
  </si>
  <si>
    <t xml:space="preserve">PDI_Y_Ref</t>
  </si>
  <si>
    <t xml:space="preserve">PDI_A</t>
  </si>
  <si>
    <t xml:space="preserve">PDO_Pump1</t>
  </si>
  <si>
    <t xml:space="preserve">PDO_Pump2</t>
  </si>
  <si>
    <t xml:space="preserve">input only</t>
  </si>
  <si>
    <t xml:space="preserve">PDI_S</t>
  </si>
  <si>
    <t xml:space="preserve">Cocktail</t>
  </si>
  <si>
    <t xml:space="preserve">Color</t>
  </si>
  <si>
    <t xml:space="preserve">Ingredient 1</t>
  </si>
  <si>
    <t xml:space="preserve">ml</t>
  </si>
  <si>
    <t xml:space="preserve">Ingredient 2</t>
  </si>
  <si>
    <t xml:space="preserve">Ingredient 3</t>
  </si>
  <si>
    <t xml:space="preserve">Ingredient 4</t>
  </si>
  <si>
    <t xml:space="preserve">Ingredient 5</t>
  </si>
  <si>
    <t xml:space="preserve">Ingredient 6</t>
  </si>
  <si>
    <t xml:space="preserve">Ingredient 7</t>
  </si>
  <si>
    <t xml:space="preserve">Ingredient 8</t>
  </si>
  <si>
    <t xml:space="preserve">ml total</t>
  </si>
  <si>
    <t xml:space="preserve">Glass</t>
  </si>
  <si>
    <t xml:space="preserve">Sex on the Beach</t>
  </si>
  <si>
    <t xml:space="preserve">bab34</t>
  </si>
  <si>
    <t xml:space="preserve">#ice</t>
  </si>
  <si>
    <t xml:space="preserve">Vodka</t>
  </si>
  <si>
    <t xml:space="preserve">Peach Tree</t>
  </si>
  <si>
    <t xml:space="preserve">Orange juice</t>
  </si>
  <si>
    <t xml:space="preserve">#shake</t>
  </si>
  <si>
    <t xml:space="preserve">Cranberry juice</t>
  </si>
  <si>
    <t xml:space="preserve">Big</t>
  </si>
  <si>
    <t xml:space="preserve">Screwdriver</t>
  </si>
  <si>
    <t xml:space="preserve">e8d86d</t>
  </si>
  <si>
    <t xml:space="preserve">Orange Juice</t>
  </si>
  <si>
    <t xml:space="preserve">#stir</t>
  </si>
  <si>
    <t xml:space="preserve">Medium</t>
  </si>
  <si>
    <t xml:space="preserve">Cosmopolitan Classic</t>
  </si>
  <si>
    <t xml:space="preserve">e81058</t>
  </si>
  <si>
    <t xml:space="preserve">Triple Sec</t>
  </si>
  <si>
    <t xml:space="preserve">Lime juice</t>
  </si>
  <si>
    <t xml:space="preserve">Rock</t>
  </si>
  <si>
    <t xml:space="preserve">Bay Breeze</t>
  </si>
  <si>
    <t xml:space="preserve">ff8400</t>
  </si>
  <si>
    <t xml:space="preserve">Pineapple juice</t>
  </si>
  <si>
    <t xml:space="preserve">Hole in One</t>
  </si>
  <si>
    <t xml:space="preserve">e3c532</t>
  </si>
  <si>
    <t xml:space="preserve">Gimlet</t>
  </si>
  <si>
    <t xml:space="preserve">d5f5dd</t>
  </si>
  <si>
    <t xml:space="preserve">#crushed ice</t>
  </si>
  <si>
    <t xml:space="preserve">Gin</t>
  </si>
  <si>
    <t xml:space="preserve">Black widow</t>
  </si>
  <si>
    <t xml:space="preserve">800101</t>
  </si>
  <si>
    <t xml:space="preserve">Lemonade</t>
  </si>
  <si>
    <t xml:space="preserve">Gin Sidecar</t>
  </si>
  <si>
    <t xml:space="preserve">ced190</t>
  </si>
  <si>
    <t xml:space="preserve">Triple sec</t>
  </si>
  <si>
    <t xml:space="preserve">Lemon juice</t>
  </si>
  <si>
    <t xml:space="preserve">Little Devil</t>
  </si>
  <si>
    <t xml:space="preserve">db4f40</t>
  </si>
  <si>
    <t xml:space="preserve">White rum</t>
  </si>
  <si>
    <t xml:space="preserve">Hoola Hoop</t>
  </si>
  <si>
    <t xml:space="preserve">e3bc5b</t>
  </si>
  <si>
    <t xml:space="preserve">Hawaiian Cocktail</t>
  </si>
  <si>
    <t xml:space="preserve">edc766</t>
  </si>
  <si>
    <t xml:space="preserve">Alpine Lemonade</t>
  </si>
  <si>
    <t xml:space="preserve">f5e4bc</t>
  </si>
  <si>
    <t xml:space="preserve">Dark rum</t>
  </si>
  <si>
    <t xml:space="preserve">#blend</t>
  </si>
  <si>
    <t xml:space="preserve">Hula Hula</t>
  </si>
  <si>
    <t xml:space="preserve">baa165</t>
  </si>
  <si>
    <t xml:space="preserve">#strain</t>
  </si>
  <si>
    <t xml:space="preserve">Judge J Cocktail</t>
  </si>
  <si>
    <t xml:space="preserve">ed775f</t>
  </si>
  <si>
    <t xml:space="preserve">Rock Bottom</t>
  </si>
  <si>
    <t xml:space="preserve">f27157</t>
  </si>
  <si>
    <t xml:space="preserve">Tequila</t>
  </si>
  <si>
    <t xml:space="preserve">Beach Bum Shake</t>
  </si>
  <si>
    <t xml:space="preserve">e3a452</t>
  </si>
  <si>
    <t xml:space="preserve">Pussy popper</t>
  </si>
  <si>
    <t xml:space="preserve">db5740</t>
  </si>
  <si>
    <t xml:space="preserve">Grenadine syrup</t>
  </si>
  <si>
    <t xml:space="preserve">Brass Monkey</t>
  </si>
  <si>
    <t xml:space="preserve">f5b922</t>
  </si>
  <si>
    <t xml:space="preserve">Legspreader</t>
  </si>
  <si>
    <t xml:space="preserve">f0ecd5</t>
  </si>
  <si>
    <t xml:space="preserve">Liquid Bubble Gum</t>
  </si>
  <si>
    <t xml:space="preserve">FFFFFF</t>
  </si>
  <si>
    <t xml:space="preserve">Cola</t>
  </si>
  <si>
    <t xml:space="preserve">Desert Sunrise</t>
  </si>
  <si>
    <t xml:space="preserve">Absolute Vacation</t>
  </si>
  <si>
    <t xml:space="preserve">Hawaiian Seduction</t>
  </si>
  <si>
    <t xml:space="preserve">Hawaiian Sea Breeze</t>
  </si>
  <si>
    <t xml:space="preserve">Island Punch</t>
  </si>
  <si>
    <t xml:space="preserve">Jamaican Sunrise</t>
  </si>
  <si>
    <t xml:space="preserve">Montana Sunrise</t>
  </si>
  <si>
    <t xml:space="preserve">Pimp Daddy</t>
  </si>
  <si>
    <t xml:space="preserve">Adam Cocktail</t>
  </si>
  <si>
    <t xml:space="preserve">Long Island Taxi</t>
  </si>
  <si>
    <t xml:space="preserve">Caribe Cosmopolitan</t>
  </si>
  <si>
    <t xml:space="preserve">Key West Screwdriver</t>
  </si>
  <si>
    <t xml:space="preserve">Shark Tank</t>
  </si>
  <si>
    <t xml:space="preserve">A Gilligans Island</t>
  </si>
  <si>
    <t xml:space="preserve">Blind Bat</t>
  </si>
  <si>
    <t xml:space="preserve">Hot Sex Cocktail</t>
  </si>
  <si>
    <t xml:space="preserve">Bloody Nightmare</t>
  </si>
  <si>
    <t xml:space="preserve">Snoop Dogg</t>
  </si>
  <si>
    <t xml:space="preserve">Gin Citric</t>
  </si>
  <si>
    <t xml:space="preserve">Cat Cocktail</t>
  </si>
  <si>
    <t xml:space="preserve">Hard Dick</t>
  </si>
  <si>
    <t xml:space="preserve">Sprite</t>
  </si>
  <si>
    <t xml:space="preserve">Vodka soda</t>
  </si>
  <si>
    <t xml:space="preserve">964B00</t>
  </si>
  <si>
    <t xml:space="preserve">Rum and coke</t>
  </si>
  <si>
    <t xml:space="preserve">Margarita</t>
  </si>
  <si>
    <t xml:space="preserve">42F595</t>
  </si>
  <si>
    <t xml:space="preserve">Ingredient name</t>
  </si>
  <si>
    <t xml:space="preserve">Ingredient name in code</t>
  </si>
  <si>
    <t xml:space="preserve">Times used</t>
  </si>
  <si>
    <t xml:space="preserve">https://www.cocktailbuilder.com/</t>
  </si>
  <si>
    <t xml:space="preserve">SHOT</t>
  </si>
  <si>
    <t xml:space="preserve">Aanmaak limonade citroen</t>
  </si>
  <si>
    <t xml:space="preserve">PUMP</t>
  </si>
  <si>
    <t xml:space="preserve">Glass type</t>
  </si>
  <si>
    <t xml:space="preserve">Content (ml)</t>
  </si>
  <si>
    <t xml:space="preserve">Content (oz)</t>
  </si>
  <si>
    <t xml:space="preserve">Stir around with barspoon in glass</t>
  </si>
  <si>
    <t xml:space="preserve">Big glass</t>
  </si>
  <si>
    <t xml:space="preserve">https://www.ikea.com/nl/nl/p/pokal-glas-helder-glas-10270478/</t>
  </si>
  <si>
    <t xml:space="preserve">35cl</t>
  </si>
  <si>
    <t xml:space="preserve">Pour drink over a few times from shaker to glass</t>
  </si>
  <si>
    <t xml:space="preserve">Medium glass</t>
  </si>
  <si>
    <t xml:space="preserve">https://www.ikea.com/nl/nl/p/pokal-glas-helder-glas-30288241/</t>
  </si>
  <si>
    <t xml:space="preserve">37cl</t>
  </si>
  <si>
    <t xml:space="preserve">Shake in shaker, after that pour in glass</t>
  </si>
  <si>
    <t xml:space="preserve">Rock glass</t>
  </si>
  <si>
    <t xml:space="preserve">Pour in glass with strainer</t>
  </si>
  <si>
    <t xml:space="preserve">X</t>
  </si>
  <si>
    <t xml:space="preserve">First dispensers</t>
  </si>
  <si>
    <t xml:space="preserve">Last dispensers</t>
  </si>
  <si>
    <t xml:space="preserve">Pump/home</t>
  </si>
  <si>
    <t xml:space="preserve">Between two dispensers</t>
  </si>
  <si>
    <t xml:space="preserve">len</t>
  </si>
  <si>
    <t xml:space="preserve">TotalLEDs</t>
  </si>
  <si>
    <t xml:space="preserve">BedSize_X</t>
  </si>
  <si>
    <t xml:space="preserve">LocationX</t>
  </si>
  <si>
    <t xml:space="preserve">LEDPos</t>
  </si>
  <si>
    <t xml:space="preserve">Now</t>
  </si>
  <si>
    <t xml:space="preserve">Desired</t>
  </si>
  <si>
    <t xml:space="preserve">Ml at beginning</t>
  </si>
  <si>
    <t xml:space="preserve">ml dispensed</t>
  </si>
  <si>
    <t xml:space="preserve">Desmos plot</t>
  </si>
  <si>
    <t xml:space="preserve">ML actual</t>
  </si>
  <si>
    <t xml:space="preserve">MS/ML</t>
  </si>
  <si>
    <t xml:space="preserve">dispenserSettings.FluidLevel</t>
  </si>
  <si>
    <t xml:space="preserve">Dispensing</t>
  </si>
  <si>
    <t xml:space="preserve">TimeMSML</t>
  </si>
  <si>
    <t xml:space="preserve">raw delay</t>
  </si>
  <si>
    <t xml:space="preserve">Compensation factor</t>
  </si>
  <si>
    <t xml:space="preserve">Compensated delay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</si>
</sst>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[$€]#,##0.00"/>
    <numFmt numFmtId="166" formatCode="@"/>
    <numFmt numFmtId="167" formatCode="0.00%"/>
  </numFmts>
  <fonts count="12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Arial"/>
      <family val="2"/>
      <charset val="1"/>
    </font>
    <font>
      <b val="true"/>
      <sz val="11"/>
      <name val="Arial"/>
      <family val="2"/>
      <charset val="1"/>
    </font>
    <font>
      <u val="single"/>
      <sz val="11"/>
      <color rgb="FF0000FF"/>
      <name val="Arial"/>
      <family val="2"/>
      <charset val="1"/>
    </font>
    <font>
      <sz val="11"/>
      <color rgb="FF0000FF"/>
      <name val="Arial"/>
      <family val="2"/>
      <charset val="1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u val="single"/>
      <sz val="10"/>
      <color rgb="FF0000FF"/>
      <name val="Arial"/>
      <family val="2"/>
      <charset val="1"/>
    </font>
    <font>
      <sz val="10"/>
      <color rgb="FF666666"/>
      <name val="Arial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274E13"/>
        <bgColor rgb="FF333333"/>
      </patternFill>
    </fill>
    <fill>
      <patternFill patternType="solid">
        <fgColor rgb="FFFF0000"/>
        <bgColor rgb="FF993300"/>
      </patternFill>
    </fill>
    <fill>
      <patternFill patternType="solid">
        <fgColor rgb="FFB6D7A8"/>
        <bgColor rgb="FFB7E1CD"/>
      </patternFill>
    </fill>
    <fill>
      <patternFill patternType="solid">
        <fgColor rgb="FF00FF00"/>
        <bgColor rgb="FF81D41A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B7B7B7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81D41A"/>
        <bgColor rgb="FF6AA84F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5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8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5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>
          <bgColor rgb="FFB7E1CD"/>
        </patternFill>
      </fill>
    </dxf>
    <dxf>
      <fill>
        <patternFill>
          <bgColor rgb="FF6AA84F"/>
        </patternFill>
      </fill>
    </dxf>
    <dxf>
      <fill>
        <patternFill>
          <bgColor rgb="FFFF0000"/>
        </patternFill>
      </fill>
    </dxf>
    <dxf>
      <fill>
        <patternFill>
          <bgColor rgb="FFC9DAF8"/>
        </patternFill>
      </fill>
    </dxf>
    <dxf>
      <fill>
        <patternFill>
          <bgColor rgb="FFFF99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B6D7A8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66"/>
      <rgbColor rgb="FF969696"/>
      <rgbColor rgb="FF003366"/>
      <rgbColor rgb="FF6AA84F"/>
      <rgbColor rgb="FF003300"/>
      <rgbColor rgb="FF274E13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youtu.be/AMiXme4bMUk" TargetMode="External"/><Relationship Id="rId2" Type="http://schemas.openxmlformats.org/officeDocument/2006/relationships/hyperlink" Target="https://www.123-3d.nl/123-3D-GT2-Pulley-hoge-resolutie-met-lager-6-mm-riem-20-tanden-5-mm-as-zwart-i2546-t0.html" TargetMode="External"/><Relationship Id="rId3" Type="http://schemas.openxmlformats.org/officeDocument/2006/relationships/hyperlink" Target="https://www.123-3d.nl/123-3D-GT2-Pulley-hoge-resolutie-6-mm-riem-20-tanden-5-mm-as-zwart-400211009-i2547-t0.html" TargetMode="External"/><Relationship Id="rId4" Type="http://schemas.openxmlformats.org/officeDocument/2006/relationships/hyperlink" Target="https://www.123-3d.nl/123-3D-GT2-timing-belt-6-mm-5-meter-i6541-t3046.html" TargetMode="External"/><Relationship Id="rId5" Type="http://schemas.openxmlformats.org/officeDocument/2006/relationships/hyperlink" Target="https://www.123-3d.nl/123-3D-Leadscrew-moer-TR8x8-i1560-t0.html" TargetMode="External"/><Relationship Id="rId6" Type="http://schemas.openxmlformats.org/officeDocument/2006/relationships/hyperlink" Target="https://www.123-3d.nl/123-3D-Leadscrew-TR8x8-8-mm-30-cm-i1558-t0.html" TargetMode="External"/><Relationship Id="rId7" Type="http://schemas.openxmlformats.org/officeDocument/2006/relationships/hyperlink" Target="https://www.123-3d.nl/123-3D-Staaf-as-glad-8-mm-x-100-cm-voor-X-of-Y-as-i56-t0.html" TargetMode="External"/><Relationship Id="rId8" Type="http://schemas.openxmlformats.org/officeDocument/2006/relationships/hyperlink" Target="https://www.123-3d.nl/123-3D-Flexibele-motor-koppeling-5-mm-8-mm-i342-t0.html" TargetMode="External"/><Relationship Id="rId9" Type="http://schemas.openxmlformats.org/officeDocument/2006/relationships/hyperlink" Target="https://www.thingiverse.com/thing:2393904" TargetMode="External"/><Relationship Id="rId10" Type="http://schemas.openxmlformats.org/officeDocument/2006/relationships/hyperlink" Target="https://www.bol.com/nl/nl/p/white-rhinoceros-drank-dispenser-bar-butler-shots-muurdispenser-voor-6-flessen/9300000007705748/?Referrer=ENTcli_order_confirmation2008093611" TargetMode="External"/><Relationship Id="rId11" Type="http://schemas.openxmlformats.org/officeDocument/2006/relationships/hyperlink" Target="https://www.ratrig.com/aluminium-profiles/vslot/v-slot-2020-637.html" TargetMode="External"/><Relationship Id="rId12" Type="http://schemas.openxmlformats.org/officeDocument/2006/relationships/hyperlink" Target="https://nl.aliexpress.com/item/1005003618509458.html?_randl_currency=EUR&amp;_randl_shipto=NL&amp;src=google&amp;aff_fcid=3eed0d41eb694740b0acb9b3b642e43f-1653843606684-09973-UneMJZVf&amp;aff_fsk=UneMJZVf&amp;aff_platform=aaf&amp;sk=UneMJZVf&amp;aff_trace_key=3eed0d41eb694740b0acb9b" TargetMode="External"/><Relationship Id="rId13" Type="http://schemas.openxmlformats.org/officeDocument/2006/relationships/hyperlink" Target="https://elektronicavoorjou.nl/product/16x2-lcd-wit-op-blauw-5v-met-i2c/" TargetMode="External"/><Relationship Id="rId14" Type="http://schemas.openxmlformats.org/officeDocument/2006/relationships/hyperlink" Target="https://www.indi.nl/nl-nl/p/Cilindrische-inbusbout-M3x10-12.9-zwart-DIN912-912310129B" TargetMode="External"/><Relationship Id="rId15" Type="http://schemas.openxmlformats.org/officeDocument/2006/relationships/hyperlink" Target="https://www.indi.nl/nl-nl/p/Cilindrische-inbusbout-M3x30-12.9-zwart-DIN912-912330129B" TargetMode="External"/><Relationship Id="rId16" Type="http://schemas.openxmlformats.org/officeDocument/2006/relationships/hyperlink" Target="https://www.indi.nl/nl-nl/p/Cilindrische-inbusbout-M5x10-12.9-zwart-DIN912-912510129B" TargetMode="External"/><Relationship Id="rId17" Type="http://schemas.openxmlformats.org/officeDocument/2006/relationships/hyperlink" Target="https://www.indi.nl/nl-nl/p/Cilindrische-inbusbout-M5x20-12.9-zwart-DIN912-912520129B" TargetMode="External"/><Relationship Id="rId18" Type="http://schemas.openxmlformats.org/officeDocument/2006/relationships/hyperlink" Target="https://www.indi.nl/nl-nl/p/Cilindrische-inbusbout-M5x30-12.9-zwart-DIN912-912530129B" TargetMode="External"/><Relationship Id="rId19" Type="http://schemas.openxmlformats.org/officeDocument/2006/relationships/hyperlink" Target="https://www.indi.nl/nl-nl/p/Cilindrische-inbusbout-M5x40-12.9-zwart-DIN912-912540129B" TargetMode="External"/><Relationship Id="rId20" Type="http://schemas.openxmlformats.org/officeDocument/2006/relationships/hyperlink" Target="https://www.indi.nl/nl-nl/p/Cilindrische-inbusbout-M5X50-12.9-zwart-DIN912-912550129B" TargetMode="External"/><Relationship Id="rId21" Type="http://schemas.openxmlformats.org/officeDocument/2006/relationships/hyperlink" Target="https://www.indi.nl/nl-nl/p/Cilindrische-inbusbout-M5x60-12.9-zwart-DIN912-912560129B" TargetMode="External"/><Relationship Id="rId22" Type="http://schemas.openxmlformats.org/officeDocument/2006/relationships/hyperlink" Target="https://www.indi.nl/nl-nl/p/Cilindrische-inbusbout-M5x80-12.9-zwart-DIN912-912580129B" TargetMode="External"/><Relationship Id="rId23" Type="http://schemas.openxmlformats.org/officeDocument/2006/relationships/hyperlink" Target="https://www.indi.nl/nl-nl/p/Zeskantmoer-M5-klasse-8-verzinkt-DIN934-9345P100" TargetMode="External"/><Relationship Id="rId24" Type="http://schemas.openxmlformats.org/officeDocument/2006/relationships/hyperlink" Target="https://www.gamma.nl/assortiment/gamma-borgmoer-m5-rvs-8-stuks/p/B458288" TargetMode="External"/><Relationship Id="rId25" Type="http://schemas.openxmlformats.org/officeDocument/2006/relationships/hyperlink" Target="https://nl.aliexpress.com/item/1005004014058136.html" TargetMode="External"/><Relationship Id="rId26" Type="http://schemas.openxmlformats.org/officeDocument/2006/relationships/hyperlink" Target="https://wiki.fysetc.com/TMC2208/" TargetMode="External"/><Relationship Id="rId27" Type="http://schemas.openxmlformats.org/officeDocument/2006/relationships/hyperlink" Target="https://www.hobbyelectronica.nl/product/endstop-mechanisch-microswitch/" TargetMode="External"/><Relationship Id="rId28" Type="http://schemas.openxmlformats.org/officeDocument/2006/relationships/hyperlink" Target="https://www.kiwi-electronics.com/nl/siliconen-slang-5x7mm-2-meter-10188" TargetMode="External"/><Relationship Id="rId29" Type="http://schemas.openxmlformats.org/officeDocument/2006/relationships/hyperlink" Target="https://www.slangenshop.nl/home/22-siliconen-slang-2-x-4-mm-.html" TargetMode="External"/><Relationship Id="rId30" Type="http://schemas.openxmlformats.org/officeDocument/2006/relationships/hyperlink" Target="https://www.slangenshop.nl/home/25-siliconen-slang-3-x-5-mm-.html" TargetMode="External"/><Relationship Id="rId31" Type="http://schemas.openxmlformats.org/officeDocument/2006/relationships/hyperlink" Target="https://www.slangenshop.nl/home/24-siliconen-slang-4-x-6-mm-.html?search_query=Siliconen+slang+4&amp;results=24" TargetMode="External"/><Relationship Id="rId32" Type="http://schemas.openxmlformats.org/officeDocument/2006/relationships/hyperlink" Target="https://www.aliexpress.com/item/1005004016711403.html?spm=a2g0o.cart.0.0.603638daNtRRN5&amp;mp=1" TargetMode="External"/><Relationship Id="rId33" Type="http://schemas.openxmlformats.org/officeDocument/2006/relationships/hyperlink" Target="https://www.aliexpress.com/item/1005004016711403.html?spm=a2g0o.cart.0.0.603638daNtRRN5&amp;mp=1" TargetMode="External"/><Relationship Id="rId34" Type="http://schemas.openxmlformats.org/officeDocument/2006/relationships/hyperlink" Target="https://www.aliexpress.com/item/32878178151.html?spm=a2g0o.cart.0.0.603638daNtRRN5&amp;mp=1" TargetMode="External"/><Relationship Id="rId35" Type="http://schemas.openxmlformats.org/officeDocument/2006/relationships/hyperlink" Target="https://www.aliexpress.com/item/32878178151.html?spm=a2g0o.cart.0.0.603638daNtRRN5&amp;mp=1" TargetMode="External"/><Relationship Id="rId36" Type="http://schemas.openxmlformats.org/officeDocument/2006/relationships/hyperlink" Target="https://www.aliexpress.com/item/1005005553905520.html?spm=a2g0o.cart.0.0.603638daNtRRN5&amp;mp=1" TargetMode="External"/><Relationship Id="rId37" Type="http://schemas.openxmlformats.org/officeDocument/2006/relationships/hyperlink" Target="https://www.hobbyelectronica.nl/product/nema-17-stappen-motor-42byghw609/?gclid=CjwKCAjwzeqVBhAoEiwAOrEmzQjIdiWzwSG4m0PU8pULIl3Q7mAKpvSpVphw8W75q5Q6bFC5tXKSYxoC3OMQAvD_BwE" TargetMode="External"/><Relationship Id="rId38" Type="http://schemas.openxmlformats.org/officeDocument/2006/relationships/hyperlink" Target="http://www.te.com/commerce/DocumentDelivery/DDEController?Action=srchrtrv&amp;DocNm=640454&amp;DocType=Customer+Drawing&amp;DocLang=English&amp;PartCntxt=640454-5" TargetMode="External"/><Relationship Id="rId39" Type="http://schemas.openxmlformats.org/officeDocument/2006/relationships/hyperlink" Target="http://www.te.com/commerce/DocumentDelivery/DDEController?Action=srchrtrv&amp;DocNm=640454&amp;DocType=Customer+Drawing&amp;DocLang=English&amp;PartCntxt=640454-5" TargetMode="External"/><Relationship Id="rId40" Type="http://schemas.openxmlformats.org/officeDocument/2006/relationships/hyperlink" Target="https://nl.farnell.com/recom-power/r-78b5-0-1-0l/dc-dc-converter-5v-1a/dp/1793162" TargetMode="External"/><Relationship Id="rId41" Type="http://schemas.openxmlformats.org/officeDocument/2006/relationships/hyperlink" Target="https://nl.aliexpress.com/item/1005006311167114.html?spm=a2g0o.order_list.order_list_main.5.3f8379d22lLZlI&amp;gatewayAdapt=glo2nld" TargetMode="External"/><Relationship Id="rId42" Type="http://schemas.openxmlformats.org/officeDocument/2006/relationships/hyperlink" Target="https://nl.aliexpress.com/item/1005006321995370.html?spm=a2g0o.order_list.order_list_main.17.3f8379d22lLZlI&amp;gatewayAdapt=glo2nld" TargetMode="External"/><Relationship Id="rId43" Type="http://schemas.openxmlformats.org/officeDocument/2006/relationships/hyperlink" Target="http://www.aliexpress.com/item/1005006852412154.html?spm=a2g0o.order_list.order_list_main.33.3f8379d22lLZlI" TargetMode="External"/><Relationship Id="rId44" Type="http://schemas.openxmlformats.org/officeDocument/2006/relationships/hyperlink" Target="https://nl.aliexpress.com/item/1005007446928015.html?spm=a2g0o.order_list.order_list_main.70.3f8379d22lLZlI&amp;gatewayAdapt=glo2nld" TargetMode="External"/><Relationship Id="rId45" Type="http://schemas.openxmlformats.org/officeDocument/2006/relationships/hyperlink" Target="https://nl.aliexpress.com/item/1005006531774076.html?spm=a2g0o.order_list.order_list_main.81.3f8379d22lLZlI&amp;gatewayAdapt=glo2nld" TargetMode="External"/><Relationship Id="rId46" Type="http://schemas.openxmlformats.org/officeDocument/2006/relationships/hyperlink" Target="https://nl.aliexpress.com/item/1005008478445571.html?spm=a2g0o.order_list.order_list_main.101.3f8379d22lLZlI&amp;gatewayAdapt=glo2nld" TargetMode="External"/><Relationship Id="rId47" Type="http://schemas.openxmlformats.org/officeDocument/2006/relationships/hyperlink" Target="https://nl.aliexpress.com/item/32810872544.html?spm=a2g0o.order_list.order_list_main.140.3f8379d22lLZlI&amp;gatewayAdapt=glo2nld" TargetMode="External"/><Relationship Id="rId48" Type="http://schemas.openxmlformats.org/officeDocument/2006/relationships/hyperlink" Target="https://nl.aliexpress.com/item/32810872544.html?spm=a2g0o.order_list.order_list_main.145.3f8379d22lLZlI&amp;gatewayAdapt=glo2nld" TargetMode="External"/><Relationship Id="rId49" Type="http://schemas.openxmlformats.org/officeDocument/2006/relationships/hyperlink" Target="http://www.aliexpress.com/item/1005002047657907.html?spm=a2g0o.order_list.order_list_main.150.3f8379d22lLZlI" TargetMode="External"/><Relationship Id="rId50" Type="http://schemas.openxmlformats.org/officeDocument/2006/relationships/hyperlink" Target="https://www.aliexpress.com/item/1005006995121970.html?spm=a2g0o.order_list.order_list_main.205.3f8379d22lLZlI" TargetMode="External"/><Relationship Id="rId51" Type="http://schemas.openxmlformats.org/officeDocument/2006/relationships/hyperlink" Target="https://nl.aliexpress.com/item/1005006149080284.html?spm=a2g0o.order_list.order_list_main.211.3f8379d22lLZlI&amp;gatewayAdapt=glo2nld" TargetMode="External"/><Relationship Id="rId52" Type="http://schemas.openxmlformats.org/officeDocument/2006/relationships/hyperlink" Target="https://www.aliexpress.com/item/1005006358997795.html?spm=a2g0o.order_list.order_list_main.225.3f8379d22lLZlI" TargetMode="External"/><Relationship Id="rId53" Type="http://schemas.openxmlformats.org/officeDocument/2006/relationships/hyperlink" Target="https://www.aliexpress.com/item/1005005013827080.html?spm=a2g0o.order_list.order_list_main.271.3f8379d22lLZlI" TargetMode="External"/><Relationship Id="rId54" Type="http://schemas.openxmlformats.org/officeDocument/2006/relationships/hyperlink" Target="https://nl.aliexpress.com/item/1005002748966091.html?spm=a2g0o.order_list.order_list_main.280.3f8379d22lLZlI&amp;gatewayAdapt=glo2nld" TargetMode="External"/><Relationship Id="rId55" Type="http://schemas.openxmlformats.org/officeDocument/2006/relationships/hyperlink" Target="https://www.bol.com/nl/nl/p/kurk-zwart-pe-in-perfect-afsluitende-vorm-tbv-non-drips-of-maatschenkers-ten-behoeve-van-0-7-1-5-l-flessen/9200000107083693/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cocktailbuilder.com/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ikea.com/nl/nl/p/pokal-glas-helder-glas-10270478/" TargetMode="External"/><Relationship Id="rId2" Type="http://schemas.openxmlformats.org/officeDocument/2006/relationships/hyperlink" Target="https://www.ikea.com/nl/nl/p/pokal-glas-helder-glas-30288241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17" activePane="bottomLeft" state="frozen"/>
      <selection pane="topLeft" activeCell="A1" activeCellId="0" sqref="A1"/>
      <selection pane="bottomLeft" activeCell="C18" activeCellId="0" sqref="C1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30.25"/>
    <col collapsed="false" customWidth="true" hidden="false" outlineLevel="0" max="2" min="2" style="1" width="7.25"/>
    <col collapsed="false" customWidth="true" hidden="false" outlineLevel="0" max="3" min="3" style="1" width="47.63"/>
    <col collapsed="false" customWidth="true" hidden="false" outlineLevel="0" max="4" min="4" style="1" width="9"/>
    <col collapsed="false" customWidth="true" hidden="false" outlineLevel="0" max="9" min="5" style="1" width="10.13"/>
    <col collapsed="false" customWidth="false" hidden="false" outlineLevel="0" max="16384" min="10" style="1" width="12.63"/>
  </cols>
  <sheetData>
    <row r="1" customFormat="false" ht="15.7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4" t="str">
        <f aca="false">"|"&amp;A1&amp;"|"&amp;B1&amp;"|"&amp;C1&amp;"|"&amp;D1&amp;"|"&amp;E1&amp;"|"&amp;F1&amp;"|"&amp;G1&amp;"|"&amp;H1&amp;"|"</f>
        <v>|Description|Amount|Comments|Link buy|Link info|Piece price|Shipping|Total|</v>
      </c>
    </row>
    <row r="2" customFormat="false" ht="1.5" hidden="false" customHeight="true" outlineLevel="0" collapsed="false">
      <c r="A2" s="1" t="s">
        <v>8</v>
      </c>
      <c r="B2" s="5" t="s">
        <v>8</v>
      </c>
      <c r="C2" s="1" t="s">
        <v>8</v>
      </c>
      <c r="D2" s="1" t="s">
        <v>8</v>
      </c>
      <c r="E2" s="1" t="s">
        <v>8</v>
      </c>
      <c r="F2" s="4" t="s">
        <v>8</v>
      </c>
      <c r="G2" s="4" t="s">
        <v>8</v>
      </c>
      <c r="H2" s="4" t="s">
        <v>8</v>
      </c>
      <c r="I2" s="4" t="str">
        <f aca="false">"|"&amp;A2&amp;"|"&amp;B2&amp;"|"&amp;C2&amp;"|"&amp;D2&amp;"|"&amp;E2&amp;"|"&amp;F2&amp;"|"&amp;G2&amp;"|"&amp;H2&amp;"|"</f>
        <v>|---|---|---|---|---|---|---|---|</v>
      </c>
    </row>
    <row r="3" customFormat="false" ht="15.75" hidden="false" customHeight="false" outlineLevel="0" collapsed="false">
      <c r="A3" s="6" t="s">
        <v>9</v>
      </c>
      <c r="B3" s="5" t="n">
        <v>4</v>
      </c>
      <c r="C3" s="1" t="s">
        <v>10</v>
      </c>
      <c r="D3" s="1" t="s">
        <v>11</v>
      </c>
      <c r="E3" s="7" t="s">
        <v>12</v>
      </c>
      <c r="F3" s="4" t="n">
        <f aca="false">(22.43*2+29.46*2)/4</f>
        <v>25.945</v>
      </c>
      <c r="G3" s="4" t="n">
        <v>1.62</v>
      </c>
      <c r="H3" s="4" t="n">
        <f aca="false">B3*F3+G3</f>
        <v>105.4</v>
      </c>
      <c r="I3" s="4" t="str">
        <f aca="false">IF(A3="","","|"&amp;A3&amp;"|"&amp;B3&amp;"|"&amp;C3&amp;"|"&amp;IF(D3="","","[link]("&amp;D3&amp;")")&amp;"|"&amp;IF(E3=" ","",IF(F3="","","[link]("&amp;E3&amp;")"))&amp;"|"&amp;IF(F3="","",ROUND(F3,2))&amp;"|"&amp;IF(G3="","",ROUND(G3,2))&amp;"|"&amp;IF(H3="","",ROUND(H3,2))&amp;"|")</f>
        <v>|Peristaltic Pump,12V (We use zy-1000f5)|4|Only needed for carbonated liquids|[link](https://www.banggood.com/500mL-or-min-Large-Flow-Easy-To-Install-Peristaltic-Pump-12V-or-24V-Metering-Vacuum-Pump-Flat-Type-Aquarium-p-1749029.html https://nl.aliexpress.com/item/1005004441796531.html?spm=a2g0o.order_list.0.0.d52c79d2o45Zo0&amp;gatewayAdapt=glo2nld)|[link](https://youtu.be/AMiXme4bMUk)|25.95|1.62|105.4|</v>
      </c>
    </row>
    <row r="4" customFormat="false" ht="15.75" hidden="false" customHeight="false" outlineLevel="0" collapsed="false">
      <c r="A4" s="6" t="s">
        <v>13</v>
      </c>
      <c r="B4" s="5" t="n">
        <v>2</v>
      </c>
      <c r="C4" s="7"/>
      <c r="D4" s="7" t="s">
        <v>14</v>
      </c>
      <c r="E4" s="1" t="s">
        <v>15</v>
      </c>
      <c r="F4" s="4" t="n">
        <v>7.5</v>
      </c>
      <c r="G4" s="4" t="n">
        <f aca="false">4.95/7</f>
        <v>0.707142857142857</v>
      </c>
      <c r="H4" s="4" t="n">
        <f aca="false">B4*F4+G4</f>
        <v>15.7071428571429</v>
      </c>
      <c r="I4" s="4" t="str">
        <f aca="false">IF(A4="","","|"&amp;A4&amp;"|"&amp;B4&amp;"|"&amp;C4&amp;"|"&amp;IF(D4="","","[link]("&amp;D4&amp;")")&amp;"|"&amp;IF(E4=" ","",IF(F4="","","[link]("&amp;E4&amp;")"))&amp;"|"&amp;IF(F4="","",ROUND(F4,2))&amp;"|"&amp;IF(G4="","",ROUND(G4,2))&amp;"|"&amp;IF(H4="","",ROUND(H4,2))&amp;"|")</f>
        <v>|Pullys|2||[link](https://www.123-3d.nl/123-3D-GT2-Pulley-hoge-resolutie-met-lager-6-mm-riem-20-tanden-5-mm-as-zwart-i2546-t0.html)||7.5|0.71|15.71|</v>
      </c>
    </row>
    <row r="5" customFormat="false" ht="15.75" hidden="false" customHeight="false" outlineLevel="0" collapsed="false">
      <c r="A5" s="6" t="s">
        <v>16</v>
      </c>
      <c r="B5" s="5" t="n">
        <v>2</v>
      </c>
      <c r="D5" s="7" t="s">
        <v>17</v>
      </c>
      <c r="E5" s="1" t="s">
        <v>15</v>
      </c>
      <c r="F5" s="4" t="n">
        <v>7.5</v>
      </c>
      <c r="G5" s="4" t="n">
        <f aca="false">4.95/7</f>
        <v>0.707142857142857</v>
      </c>
      <c r="H5" s="4" t="n">
        <f aca="false">B5*F5+G5</f>
        <v>15.7071428571429</v>
      </c>
      <c r="I5" s="4" t="str">
        <f aca="false">IF(A5="","","|"&amp;A5&amp;"|"&amp;B5&amp;"|"&amp;C5&amp;"|"&amp;IF(D5="","","[link]("&amp;D5&amp;")")&amp;"|"&amp;IF(E5=" ","",IF(F5="","","[link]("&amp;E5&amp;")"))&amp;"|"&amp;IF(F5="","",ROUND(F5,2))&amp;"|"&amp;IF(G5="","",ROUND(G5,2))&amp;"|"&amp;IF(H5="","",ROUND(H5,2))&amp;"|")</f>
        <v>|Motor pullys|2||[link](https://www.123-3d.nl/123-3D-GT2-Pulley-hoge-resolutie-6-mm-riem-20-tanden-5-mm-as-zwart-400211009-i2547-t0.html)||7.5|0.71|15.71|</v>
      </c>
    </row>
    <row r="6" customFormat="false" ht="15.75" hidden="false" customHeight="false" outlineLevel="0" collapsed="false">
      <c r="A6" s="6" t="s">
        <v>18</v>
      </c>
      <c r="B6" s="5" t="n">
        <v>1</v>
      </c>
      <c r="C6" s="1" t="s">
        <v>19</v>
      </c>
      <c r="D6" s="7" t="s">
        <v>20</v>
      </c>
      <c r="E6" s="1" t="s">
        <v>15</v>
      </c>
      <c r="F6" s="4" t="n">
        <v>21</v>
      </c>
      <c r="G6" s="4" t="n">
        <f aca="false">4.95/7</f>
        <v>0.707142857142857</v>
      </c>
      <c r="H6" s="4" t="n">
        <f aca="false">B6*F6+G6</f>
        <v>21.7071428571429</v>
      </c>
      <c r="I6" s="4" t="str">
        <f aca="false">IF(A6="","","|"&amp;A6&amp;"|"&amp;B6&amp;"|"&amp;C6&amp;"|"&amp;IF(D6="","","[link]("&amp;D6&amp;")")&amp;"|"&amp;IF(E6=" ","",IF(F6="","","[link]("&amp;E6&amp;")"))&amp;"|"&amp;IF(F6="","",ROUND(F6,2))&amp;"|"&amp;IF(G6="","",ROUND(G6,2))&amp;"|"&amp;IF(H6="","",ROUND(H6,2))&amp;"|")</f>
        <v>|Reininforced belt 6mm wide|1|2.7m needed|[link](https://www.123-3d.nl/123-3D-GT2-timing-belt-6-mm-5-meter-i6541-t3046.html)||21|0.71|21.71|</v>
      </c>
    </row>
    <row r="7" customFormat="false" ht="15.75" hidden="false" customHeight="false" outlineLevel="0" collapsed="false">
      <c r="A7" s="6" t="s">
        <v>21</v>
      </c>
      <c r="B7" s="1" t="n">
        <v>1</v>
      </c>
      <c r="D7" s="7" t="s">
        <v>22</v>
      </c>
      <c r="E7" s="1" t="s">
        <v>15</v>
      </c>
      <c r="F7" s="8" t="n">
        <v>6</v>
      </c>
      <c r="G7" s="4" t="n">
        <f aca="false">4.95/7</f>
        <v>0.707142857142857</v>
      </c>
      <c r="H7" s="4" t="n">
        <f aca="false">B7*F7+G7</f>
        <v>6.70714285714286</v>
      </c>
      <c r="I7" s="4" t="str">
        <f aca="false">IF(A7="","","|"&amp;A7&amp;"|"&amp;B7&amp;"|"&amp;C7&amp;"|"&amp;IF(D7="","","[link]("&amp;D7&amp;")")&amp;"|"&amp;IF(E7=" ","",IF(F7="","","[link]("&amp;E7&amp;")"))&amp;"|"&amp;IF(F7="","",ROUND(F7,2))&amp;"|"&amp;IF(G7="","",ROUND(G7,2))&amp;"|"&amp;IF(H7="","",ROUND(H7,2))&amp;"|")</f>
        <v>|Leadscrew moer, TR8x8|1||[link](https://www.123-3d.nl/123-3D-Leadscrew-moer-TR8x8-i1560-t0.html)||6|0.71|6.71|</v>
      </c>
    </row>
    <row r="8" customFormat="false" ht="15.75" hidden="false" customHeight="false" outlineLevel="0" collapsed="false">
      <c r="A8" s="6" t="s">
        <v>23</v>
      </c>
      <c r="B8" s="1" t="n">
        <v>1</v>
      </c>
      <c r="C8" s="1" t="s">
        <v>24</v>
      </c>
      <c r="D8" s="7" t="s">
        <v>25</v>
      </c>
      <c r="E8" s="1" t="s">
        <v>15</v>
      </c>
      <c r="F8" s="8" t="n">
        <v>9.5</v>
      </c>
      <c r="G8" s="4" t="n">
        <f aca="false">4.95/7</f>
        <v>0.707142857142857</v>
      </c>
      <c r="H8" s="4" t="n">
        <f aca="false">B8*F8+G8</f>
        <v>10.2071428571429</v>
      </c>
      <c r="I8" s="4" t="str">
        <f aca="false">IF(A8="","","|"&amp;A8&amp;"|"&amp;B8&amp;"|"&amp;C8&amp;"|"&amp;IF(D8="","","[link]("&amp;D8&amp;")")&amp;"|"&amp;IF(E8=" ","",IF(F8="","","[link]("&amp;E8&amp;")"))&amp;"|"&amp;IF(F8="","",ROUND(F8,2))&amp;"|"&amp;IF(G8="","",ROUND(G8,2))&amp;"|"&amp;IF(H8="","",ROUND(H8,2))&amp;"|")</f>
        <v>|Leadscrew, TR8x8, 8 mm|1|This one is 30cm, unsure what we need|[link](https://www.123-3d.nl/123-3D-Leadscrew-TR8x8-8-mm-30-cm-i1558-t0.html)||9.5|0.71|10.21|</v>
      </c>
    </row>
    <row r="9" customFormat="false" ht="15.75" hidden="false" customHeight="false" outlineLevel="0" collapsed="false">
      <c r="A9" s="6" t="s">
        <v>26</v>
      </c>
      <c r="B9" s="5" t="n">
        <v>1</v>
      </c>
      <c r="C9" s="1" t="s">
        <v>27</v>
      </c>
      <c r="D9" s="7" t="s">
        <v>28</v>
      </c>
      <c r="E9" s="1" t="s">
        <v>15</v>
      </c>
      <c r="F9" s="4" t="n">
        <v>3.75</v>
      </c>
      <c r="G9" s="4" t="n">
        <f aca="false">4.95/7</f>
        <v>0.707142857142857</v>
      </c>
      <c r="H9" s="4" t="n">
        <f aca="false">B9*F9+G9</f>
        <v>4.45714285714286</v>
      </c>
      <c r="I9" s="4" t="str">
        <f aca="false">IF(A9="","","|"&amp;A9&amp;"|"&amp;B9&amp;"|"&amp;C9&amp;"|"&amp;IF(D9="","","[link]("&amp;D9&amp;")")&amp;"|"&amp;IF(E9=" ","",IF(F9="","","[link]("&amp;E9&amp;")"))&amp;"|"&amp;IF(F9="","",ROUND(F9,2))&amp;"|"&amp;IF(G9="","",ROUND(G9,2))&amp;"|"&amp;IF(H9="","",ROUND(H9,2))&amp;"|")</f>
        <v>|Staaf as glad 8 m|1|This one is 100cm, unsure what we need|[link](https://www.123-3d.nl/123-3D-Staaf-as-glad-8-mm-x-100-cm-voor-X-of-Y-as-i56-t0.html)||3.75|0.71|4.46|</v>
      </c>
    </row>
    <row r="10" customFormat="false" ht="15.75" hidden="false" customHeight="false" outlineLevel="0" collapsed="false">
      <c r="A10" s="6" t="s">
        <v>29</v>
      </c>
      <c r="B10" s="1" t="n">
        <v>1</v>
      </c>
      <c r="D10" s="7" t="s">
        <v>30</v>
      </c>
      <c r="E10" s="1" t="s">
        <v>15</v>
      </c>
      <c r="F10" s="8" t="n">
        <v>4.5</v>
      </c>
      <c r="G10" s="4" t="n">
        <f aca="false">4.95/7</f>
        <v>0.707142857142857</v>
      </c>
      <c r="H10" s="4" t="n">
        <f aca="false">B10*F10+G10</f>
        <v>5.20714285714286</v>
      </c>
      <c r="I10" s="4" t="str">
        <f aca="false">IF(A10="","","|"&amp;A10&amp;"|"&amp;B10&amp;"|"&amp;C10&amp;"|"&amp;IF(D10="","","[link]("&amp;D10&amp;")")&amp;"|"&amp;IF(E10=" ","",IF(F10="","","[link]("&amp;E10&amp;")"))&amp;"|"&amp;IF(F10="","",ROUND(F10,2))&amp;"|"&amp;IF(G10="","",ROUND(G10,2))&amp;"|"&amp;IF(H10="","",ROUND(H10,2))&amp;"|")</f>
        <v>|Flexibele motor koppeling 5 mm - 8 mm|1||[link](https://www.123-3d.nl/123-3D-Flexibele-motor-koppeling-5-mm-8-mm-i342-t0.html)||4.5|0.71|5.21|</v>
      </c>
    </row>
    <row r="11" customFormat="false" ht="15.75" hidden="false" customHeight="false" outlineLevel="0" collapsed="false">
      <c r="A11" s="6" t="s">
        <v>31</v>
      </c>
      <c r="B11" s="5" t="n">
        <v>10</v>
      </c>
      <c r="C11" s="1" t="s">
        <v>32</v>
      </c>
      <c r="E11" s="7" t="s">
        <v>33</v>
      </c>
      <c r="F11" s="4" t="n">
        <v>0.02</v>
      </c>
      <c r="G11" s="4" t="n">
        <v>0</v>
      </c>
      <c r="H11" s="4" t="n">
        <f aca="false">B11*F11+G11</f>
        <v>0.2</v>
      </c>
      <c r="I11" s="4" t="str">
        <f aca="false">IF(A11="","","|"&amp;A11&amp;"|"&amp;B11&amp;"|"&amp;C11&amp;"|"&amp;IF(D11="","","[link]("&amp;D11&amp;")")&amp;"|"&amp;IF(E11=" ","",IF(F11="","","[link]("&amp;E11&amp;")"))&amp;"|"&amp;IF(F11="","",ROUND(F11,2))&amp;"|"&amp;IF(G11="","",ROUND(G11,2))&amp;"|"&amp;IF(H11="","",ROUND(H11,2))&amp;"|")</f>
        <v>|Frame end caps 2020 (3d print)|10|Print in black||[link](https://www.thingiverse.com/thing:2393904)|0.02|0|0.2|</v>
      </c>
    </row>
    <row r="12" customFormat="false" ht="15.75" hidden="false" customHeight="false" outlineLevel="0" collapsed="false">
      <c r="A12" s="6" t="s">
        <v>34</v>
      </c>
      <c r="B12" s="5" t="n">
        <v>2</v>
      </c>
      <c r="C12" s="1" t="s">
        <v>35</v>
      </c>
      <c r="D12" s="7" t="s">
        <v>36</v>
      </c>
      <c r="E12" s="1" t="s">
        <v>15</v>
      </c>
      <c r="F12" s="4" t="n">
        <v>38.95</v>
      </c>
      <c r="G12" s="4" t="n">
        <v>0</v>
      </c>
      <c r="H12" s="4" t="n">
        <f aca="false">B12*F12+G12</f>
        <v>77.9</v>
      </c>
      <c r="I12" s="4" t="str">
        <f aca="false">IF(A12="","","|"&amp;A12&amp;"|"&amp;B12&amp;"|"&amp;C12&amp;"|"&amp;IF(D12="","","[link]("&amp;D12&amp;")")&amp;"|"&amp;IF(E12=" ","",IF(F12="","","[link]("&amp;E12&amp;")"))&amp;"|"&amp;IF(F12="","",ROUND(F12,2))&amp;"|"&amp;IF(G12="","",ROUND(G12,2))&amp;"|"&amp;IF(H12="","",ROUND(H12,2))&amp;"|")</f>
        <v>|Drink dispensers (6 way)|2|Spraypaint black|[link](https://www.bol.com/nl/nl/p/white-rhinoceros-drank-dispenser-bar-butler-shots-muurdispenser-voor-6-flessen/9300000007705748/?Referrer=ENTcli_order_confirmation2008093611)||38.95|0|77.9|</v>
      </c>
    </row>
    <row r="13" customFormat="false" ht="15.75" hidden="false" customHeight="false" outlineLevel="0" collapsed="false">
      <c r="A13" s="6" t="s">
        <v>37</v>
      </c>
      <c r="B13" s="5" t="n">
        <v>2</v>
      </c>
      <c r="C13" s="1" t="s">
        <v>38</v>
      </c>
      <c r="D13" s="7" t="s">
        <v>39</v>
      </c>
      <c r="E13" s="1" t="s">
        <v>15</v>
      </c>
      <c r="F13" s="4" t="n">
        <v>12.54</v>
      </c>
      <c r="G13" s="4" t="n">
        <v>28.52</v>
      </c>
      <c r="H13" s="4" t="n">
        <f aca="false">B13*F13+G13</f>
        <v>53.6</v>
      </c>
      <c r="I13" s="4" t="str">
        <f aca="false">IF(A13="","","|"&amp;A13&amp;"|"&amp;B13&amp;"|"&amp;C13&amp;"|"&amp;IF(D13="","","[link]("&amp;D13&amp;")")&amp;"|"&amp;IF(E13=" ","",IF(F13="","","[link]("&amp;E13&amp;")"))&amp;"|"&amp;IF(F13="","",ROUND(F13,2))&amp;"|"&amp;IF(G13="","",ROUND(G13,2))&amp;"|"&amp;IF(H13="","",ROUND(H13,2))&amp;"|")</f>
        <v>|V frame (black 1500mm)|2|Cut in sizes: 2x750 + 2x353.5 + 2x396.5mm|[link](https://www.ratrig.com/aluminium-profiles/vslot/v-slot-2020-637.html)||12.54|28.52|53.6|</v>
      </c>
    </row>
    <row r="14" customFormat="false" ht="15.75" hidden="false" customHeight="false" outlineLevel="0" collapsed="false">
      <c r="A14" s="6" t="s">
        <v>40</v>
      </c>
      <c r="B14" s="9" t="n">
        <v>20</v>
      </c>
      <c r="D14" s="7" t="s">
        <v>41</v>
      </c>
      <c r="E14" s="1" t="s">
        <v>15</v>
      </c>
      <c r="F14" s="4" t="n">
        <f aca="false">10.02/20</f>
        <v>0.501</v>
      </c>
      <c r="G14" s="4" t="n">
        <v>2.43</v>
      </c>
      <c r="H14" s="4" t="n">
        <f aca="false">B14*F14+G14</f>
        <v>12.45</v>
      </c>
      <c r="I14" s="4" t="str">
        <f aca="false">IF(A14="","","|"&amp;A14&amp;"|"&amp;B14&amp;"|"&amp;C14&amp;"|"&amp;IF(D14="","","[link]("&amp;D14&amp;")")&amp;"|"&amp;IF(E14=" ","",IF(F14="","","[link]("&amp;E14&amp;")"))&amp;"|"&amp;IF(F14="","",ROUND(F14,2))&amp;"|"&amp;IF(G14="","",ROUND(G14,2))&amp;"|"&amp;IF(H14="","",ROUND(H14,2))&amp;"|")</f>
        <v>|Frame corner profiles|20||[link](https://nl.aliexpress.com/item/1005003618509458.html)||0.5|2.43|12.45|</v>
      </c>
    </row>
    <row r="15" customFormat="false" ht="15.75" hidden="false" customHeight="false" outlineLevel="0" collapsed="false">
      <c r="A15" s="6" t="s">
        <v>42</v>
      </c>
      <c r="B15" s="5" t="n">
        <v>1</v>
      </c>
      <c r="C15" s="1" t="s">
        <v>43</v>
      </c>
      <c r="E15" s="1" t="s">
        <v>15</v>
      </c>
      <c r="F15" s="4" t="n">
        <v>30.48</v>
      </c>
      <c r="G15" s="4" t="n">
        <v>0</v>
      </c>
      <c r="H15" s="4" t="n">
        <f aca="false">B15*F15+G15</f>
        <v>30.48</v>
      </c>
      <c r="I15" s="4" t="str">
        <f aca="false">IF(A15="","","|"&amp;A15&amp;"|"&amp;B15&amp;"|"&amp;C15&amp;"|"&amp;IF(D15="","","[link]("&amp;D15&amp;")")&amp;"|"&amp;IF(E15=" ","",IF(F15="","","[link]("&amp;E15&amp;")"))&amp;"|"&amp;IF(F15="","",ROUND(F15,2))&amp;"|"&amp;IF(G15="","",ROUND(G15,2))&amp;"|"&amp;IF(H15="","",ROUND(H15,2))&amp;"|")</f>
        <v>|Wood (Gamma)|1|2x30x80cm|||30.48|0|30.48|</v>
      </c>
    </row>
    <row r="16" customFormat="false" ht="15.75" hidden="false" customHeight="false" outlineLevel="0" collapsed="false">
      <c r="A16" s="6" t="s">
        <v>44</v>
      </c>
      <c r="B16" s="1" t="n">
        <v>1</v>
      </c>
      <c r="D16" s="7" t="s">
        <v>45</v>
      </c>
      <c r="E16" s="1" t="s">
        <v>15</v>
      </c>
      <c r="F16" s="8" t="n">
        <v>9.95</v>
      </c>
      <c r="G16" s="8" t="n">
        <v>2.99</v>
      </c>
      <c r="H16" s="4" t="n">
        <f aca="false">B16*F16+G16</f>
        <v>12.94</v>
      </c>
      <c r="I16" s="4" t="str">
        <f aca="false">IF(A16="","","|"&amp;A16&amp;"|"&amp;B16&amp;"|"&amp;C16&amp;"|"&amp;IF(D16="","","[link]("&amp;D16&amp;")")&amp;"|"&amp;IF(E16=" ","",IF(F16="","","[link]("&amp;E16&amp;")"))&amp;"|"&amp;IF(F16="","",ROUND(F16,2))&amp;"|"&amp;IF(G16="","",ROUND(G16,2))&amp;"|"&amp;IF(H16="","",ROUND(H16,2))&amp;"|")</f>
        <v>|16x2 LCD Display I2C|1||[link](https://elektronicavoorjou.nl/product/16x2-lcd-wit-op-blauw-5v-met-i2c/)||9.95|2.99|12.94|</v>
      </c>
    </row>
    <row r="17" customFormat="false" ht="15.75" hidden="false" customHeight="false" outlineLevel="0" collapsed="false">
      <c r="A17" s="6" t="s">
        <v>46</v>
      </c>
      <c r="B17" s="9" t="n">
        <v>50</v>
      </c>
      <c r="D17" s="7" t="s">
        <v>47</v>
      </c>
      <c r="E17" s="1" t="s">
        <v>15</v>
      </c>
      <c r="F17" s="8" t="n">
        <f aca="false">8.62/50</f>
        <v>0.1724</v>
      </c>
      <c r="G17" s="4" t="n">
        <f aca="false">(95.72-87.32)/6</f>
        <v>1.4</v>
      </c>
      <c r="H17" s="4" t="n">
        <f aca="false">B17*F17+G17</f>
        <v>10.02</v>
      </c>
      <c r="I17" s="4" t="str">
        <f aca="false">IF(A17="","","|"&amp;A17&amp;"|"&amp;B17&amp;"|"&amp;C17&amp;"|"&amp;IF(D17="","","[link]("&amp;D17&amp;")")&amp;"|"&amp;IF(E17=" ","",IF(F17="","","[link]("&amp;E17&amp;")"))&amp;"|"&amp;IF(F17="","",ROUND(F17,2))&amp;"|"&amp;IF(G17="","",ROUND(G17,2))&amp;"|"&amp;IF(H17="","",ROUND(H17,2))&amp;"|")</f>
        <v>|M3x10|50||[link](https://www.indi.nl/nl-nl/p/Cilindrische-inbusbout-M3x10-12.9-zwart-DIN912-912310129B)||0.17|1.4|10.02|</v>
      </c>
    </row>
    <row r="18" customFormat="false" ht="15.75" hidden="false" customHeight="false" outlineLevel="0" collapsed="false">
      <c r="A18" s="6" t="s">
        <v>48</v>
      </c>
      <c r="B18" s="9" t="n">
        <v>50</v>
      </c>
      <c r="D18" s="7" t="s">
        <v>49</v>
      </c>
      <c r="E18" s="1" t="s">
        <v>15</v>
      </c>
      <c r="F18" s="8" t="n">
        <f aca="false">8.62/50</f>
        <v>0.1724</v>
      </c>
      <c r="G18" s="4" t="n">
        <f aca="false">(95.72-87.32)/6</f>
        <v>1.4</v>
      </c>
      <c r="H18" s="4" t="n">
        <f aca="false">B18*F18+G18</f>
        <v>10.02</v>
      </c>
      <c r="I18" s="4" t="str">
        <f aca="false">IF(A18="","","|"&amp;A18&amp;"|"&amp;B18&amp;"|"&amp;C18&amp;"|"&amp;IF(D18="","","[link]("&amp;D18&amp;")")&amp;"|"&amp;IF(E18=" ","",IF(F18="","","[link]("&amp;E18&amp;")"))&amp;"|"&amp;IF(F18="","",ROUND(F18,2))&amp;"|"&amp;IF(G18="","",ROUND(G18,2))&amp;"|"&amp;IF(H18="","",ROUND(H18,2))&amp;"|")</f>
        <v>|M3x30|50||[link](https://www.indi.nl/nl-nl/p/Cilindrische-inbusbout-M3x30-12.9-zwart-DIN912-912330129B)||0.17|1.4|10.02|</v>
      </c>
    </row>
    <row r="19" customFormat="false" ht="15.75" hidden="false" customHeight="false" outlineLevel="0" collapsed="false">
      <c r="A19" s="6" t="s">
        <v>50</v>
      </c>
      <c r="B19" s="9" t="n">
        <v>50</v>
      </c>
      <c r="D19" s="7" t="s">
        <v>51</v>
      </c>
      <c r="E19" s="1" t="s">
        <v>15</v>
      </c>
      <c r="F19" s="8" t="n">
        <v>0.18</v>
      </c>
      <c r="G19" s="4" t="n">
        <f aca="false">(95.72-87.32)/6</f>
        <v>1.4</v>
      </c>
      <c r="H19" s="4" t="n">
        <f aca="false">B19*F19+G19</f>
        <v>10.4</v>
      </c>
      <c r="I19" s="4" t="str">
        <f aca="false">IF(A19="","","|"&amp;A19&amp;"|"&amp;B19&amp;"|"&amp;C19&amp;"|"&amp;IF(D19="","","[link]("&amp;D19&amp;")")&amp;"|"&amp;IF(E19=" ","",IF(F19="","","[link]("&amp;E19&amp;")"))&amp;"|"&amp;IF(F19="","",ROUND(F19,2))&amp;"|"&amp;IF(G19="","",ROUND(G19,2))&amp;"|"&amp;IF(H19="","",ROUND(H19,2))&amp;"|")</f>
        <v>|M5x10|50||[link](https://www.indi.nl/nl-nl/p/Cilindrische-inbusbout-M5x10-12.9-zwart-DIN912-912510129B)||0.18|1.4|10.4|</v>
      </c>
    </row>
    <row r="20" customFormat="false" ht="15.75" hidden="false" customHeight="false" outlineLevel="0" collapsed="false">
      <c r="A20" s="6" t="s">
        <v>52</v>
      </c>
      <c r="B20" s="9" t="n">
        <v>50</v>
      </c>
      <c r="D20" s="7" t="s">
        <v>53</v>
      </c>
      <c r="E20" s="1" t="s">
        <v>15</v>
      </c>
      <c r="F20" s="8" t="n">
        <v>0.18</v>
      </c>
      <c r="G20" s="4" t="n">
        <f aca="false">(95.72-87.32)/6</f>
        <v>1.4</v>
      </c>
      <c r="H20" s="4" t="n">
        <f aca="false">B20*F20+G20</f>
        <v>10.4</v>
      </c>
      <c r="I20" s="4" t="str">
        <f aca="false">IF(A20="","","|"&amp;A20&amp;"|"&amp;B20&amp;"|"&amp;C20&amp;"|"&amp;IF(D20="","","[link]("&amp;D20&amp;")")&amp;"|"&amp;IF(E20=" ","",IF(F20="","","[link]("&amp;E20&amp;")"))&amp;"|"&amp;IF(F20="","",ROUND(F20,2))&amp;"|"&amp;IF(G20="","",ROUND(G20,2))&amp;"|"&amp;IF(H20="","",ROUND(H20,2))&amp;"|")</f>
        <v>|M5x20|50||[link](https://www.indi.nl/nl-nl/p/Cilindrische-inbusbout-M5x20-12.9-zwart-DIN912-912520129B)||0.18|1.4|10.4|</v>
      </c>
    </row>
    <row r="21" customFormat="false" ht="15.75" hidden="false" customHeight="false" outlineLevel="0" collapsed="false">
      <c r="A21" s="10" t="s">
        <v>54</v>
      </c>
      <c r="B21" s="9" t="n">
        <v>50</v>
      </c>
      <c r="D21" s="7" t="s">
        <v>55</v>
      </c>
      <c r="E21" s="1" t="s">
        <v>15</v>
      </c>
      <c r="F21" s="8" t="n">
        <v>0.18</v>
      </c>
      <c r="G21" s="4" t="n">
        <f aca="false">(95.72-87.32)/6</f>
        <v>1.4</v>
      </c>
      <c r="H21" s="4" t="n">
        <f aca="false">B21*F21+G21</f>
        <v>10.4</v>
      </c>
      <c r="I21" s="4" t="str">
        <f aca="false">IF(A21="","","|"&amp;A21&amp;"|"&amp;B21&amp;"|"&amp;C21&amp;"|"&amp;IF(D21="","","[link]("&amp;D21&amp;")")&amp;"|"&amp;IF(E21=" ","",IF(F21="","","[link]("&amp;E21&amp;")"))&amp;"|"&amp;IF(F21="","",ROUND(F21,2))&amp;"|"&amp;IF(G21="","",ROUND(G21,2))&amp;"|"&amp;IF(H21="","",ROUND(H21,2))&amp;"|")</f>
        <v>|M5x30|50||[link](https://www.indi.nl/nl-nl/p/Cilindrische-inbusbout-M5x30-12.9-zwart-DIN912-912530129B)||0.18|1.4|10.4|</v>
      </c>
    </row>
    <row r="22" customFormat="false" ht="15.75" hidden="false" customHeight="false" outlineLevel="0" collapsed="false">
      <c r="A22" s="11" t="s">
        <v>56</v>
      </c>
      <c r="B22" s="9" t="n">
        <v>50</v>
      </c>
      <c r="D22" s="7" t="s">
        <v>57</v>
      </c>
      <c r="E22" s="1" t="s">
        <v>15</v>
      </c>
      <c r="F22" s="8" t="n">
        <v>0.27</v>
      </c>
      <c r="G22" s="4" t="n">
        <f aca="false">8.41/6</f>
        <v>1.40166666666667</v>
      </c>
      <c r="H22" s="4" t="n">
        <f aca="false">B22*F22+G22</f>
        <v>14.9016666666667</v>
      </c>
      <c r="I22" s="4" t="str">
        <f aca="false">IF(A22="","","|"&amp;A22&amp;"|"&amp;B22&amp;"|"&amp;C22&amp;"|"&amp;IF(D22="","","[link]("&amp;D22&amp;")")&amp;"|"&amp;IF(E22=" ","",IF(F22="","","[link]("&amp;E22&amp;")"))&amp;"|"&amp;IF(F22="","",ROUND(F22,2))&amp;"|"&amp;IF(G22="","",ROUND(G22,2))&amp;"|"&amp;IF(H22="","",ROUND(H22,2))&amp;"|")</f>
        <v>|M5x40|50||[link](https://www.indi.nl/nl-nl/p/Cilindrische-inbusbout-M5x40-12.9-zwart-DIN912-912540129B)||0.27|1.4|14.9|</v>
      </c>
    </row>
    <row r="23" customFormat="false" ht="15.75" hidden="false" customHeight="false" outlineLevel="0" collapsed="false">
      <c r="A23" s="11" t="s">
        <v>58</v>
      </c>
      <c r="B23" s="9" t="n">
        <v>50</v>
      </c>
      <c r="D23" s="7" t="s">
        <v>59</v>
      </c>
      <c r="E23" s="1" t="s">
        <v>15</v>
      </c>
      <c r="F23" s="8" t="n">
        <v>0.34</v>
      </c>
      <c r="G23" s="4" t="n">
        <f aca="false">8.41/6</f>
        <v>1.40166666666667</v>
      </c>
      <c r="H23" s="4" t="n">
        <f aca="false">B23*F23+G23</f>
        <v>18.4016666666667</v>
      </c>
      <c r="I23" s="4" t="str">
        <f aca="false">IF(A23="","","|"&amp;A23&amp;"|"&amp;B23&amp;"|"&amp;C23&amp;"|"&amp;IF(D23="","","[link]("&amp;D23&amp;")")&amp;"|"&amp;IF(E23=" ","",IF(F23="","","[link]("&amp;E23&amp;")"))&amp;"|"&amp;IF(F23="","",ROUND(F23,2))&amp;"|"&amp;IF(G23="","",ROUND(G23,2))&amp;"|"&amp;IF(H23="","",ROUND(H23,2))&amp;"|")</f>
        <v>|M5x50|50||[link](https://www.indi.nl/nl-nl/p/Cilindrische-inbusbout-M5X50-12.9-zwart-DIN912-912550129B)||0.34|1.4|18.4|</v>
      </c>
    </row>
    <row r="24" customFormat="false" ht="15.75" hidden="false" customHeight="false" outlineLevel="0" collapsed="false">
      <c r="A24" s="6" t="s">
        <v>60</v>
      </c>
      <c r="B24" s="9" t="n">
        <v>50</v>
      </c>
      <c r="D24" s="7" t="s">
        <v>61</v>
      </c>
      <c r="E24" s="1" t="s">
        <v>15</v>
      </c>
      <c r="F24" s="8" t="n">
        <f aca="false">19.32/50</f>
        <v>0.3864</v>
      </c>
      <c r="G24" s="4" t="n">
        <f aca="false">(95.72-87.32)/6</f>
        <v>1.4</v>
      </c>
      <c r="H24" s="4" t="n">
        <f aca="false">B24*F24+G24</f>
        <v>20.72</v>
      </c>
      <c r="I24" s="4" t="str">
        <f aca="false">IF(A24="","","|"&amp;A24&amp;"|"&amp;B24&amp;"|"&amp;C24&amp;"|"&amp;IF(D24="","","[link]("&amp;D24&amp;")")&amp;"|"&amp;IF(E24=" ","",IF(F24="","","[link]("&amp;E24&amp;")"))&amp;"|"&amp;IF(F24="","",ROUND(F24,2))&amp;"|"&amp;IF(G24="","",ROUND(G24,2))&amp;"|"&amp;IF(H24="","",ROUND(H24,2))&amp;"|")</f>
        <v>|M5x60|50||[link](https://www.indi.nl/nl-nl/p/Cilindrische-inbusbout-M5x60-12.9-zwart-DIN912-912560129B)||0.39|1.4|20.72|</v>
      </c>
    </row>
    <row r="25" customFormat="false" ht="15.75" hidden="false" customHeight="false" outlineLevel="0" collapsed="false">
      <c r="A25" s="6" t="s">
        <v>62</v>
      </c>
      <c r="B25" s="9" t="n">
        <v>50</v>
      </c>
      <c r="D25" s="7" t="s">
        <v>63</v>
      </c>
      <c r="E25" s="1" t="s">
        <v>15</v>
      </c>
      <c r="F25" s="8" t="n">
        <f aca="false">41.76/50</f>
        <v>0.8352</v>
      </c>
      <c r="G25" s="4" t="n">
        <f aca="false">(95.72-87.32)/6</f>
        <v>1.4</v>
      </c>
      <c r="H25" s="4" t="n">
        <f aca="false">B25*F25+G25</f>
        <v>43.16</v>
      </c>
      <c r="I25" s="4" t="str">
        <f aca="false">IF(A25="","","|"&amp;A25&amp;"|"&amp;B25&amp;"|"&amp;C25&amp;"|"&amp;IF(D25="","","[link]("&amp;D25&amp;")")&amp;"|"&amp;IF(E25=" ","",IF(F25="","","[link]("&amp;E25&amp;")"))&amp;"|"&amp;IF(F25="","",ROUND(F25,2))&amp;"|"&amp;IF(G25="","",ROUND(G25,2))&amp;"|"&amp;IF(H25="","",ROUND(H25,2))&amp;"|")</f>
        <v>|M5x80|50||[link](https://www.indi.nl/nl-nl/p/Cilindrische-inbusbout-M5x80-12.9-zwart-DIN912-912580129B)||0.84|1.4|43.16|</v>
      </c>
    </row>
    <row r="26" customFormat="false" ht="15.75" hidden="false" customHeight="false" outlineLevel="0" collapsed="false">
      <c r="A26" s="11" t="s">
        <v>64</v>
      </c>
      <c r="B26" s="9" t="n">
        <v>200</v>
      </c>
      <c r="D26" s="12" t="s">
        <v>65</v>
      </c>
      <c r="E26" s="13" t="s">
        <v>15</v>
      </c>
      <c r="F26" s="14" t="n">
        <v>0.05</v>
      </c>
      <c r="G26" s="4" t="n">
        <f aca="false">(95.72-87.32)/6</f>
        <v>1.4</v>
      </c>
      <c r="H26" s="4" t="n">
        <f aca="false">B26*F26+G26</f>
        <v>11.4</v>
      </c>
      <c r="I26" s="4" t="str">
        <f aca="false">IF(A26="","","|"&amp;A26&amp;"|"&amp;B26&amp;"|"&amp;C26&amp;"|"&amp;IF(D26="","","[link]("&amp;D26&amp;")")&amp;"|"&amp;IF(E26=" ","",IF(F26="","","[link]("&amp;E26&amp;")"))&amp;"|"&amp;IF(F26="","",ROUND(F26,2))&amp;"|"&amp;IF(G26="","",ROUND(G26,2))&amp;"|"&amp;IF(H26="","",ROUND(H26,2))&amp;"|")</f>
        <v>|Moer|200||[link](https://www.indi.nl/nl-nl/p/Zeskantmoer-M5-klasse-8-verzinkt-DIN934-9345P100)||0.05|1.4|11.4|</v>
      </c>
    </row>
    <row r="27" customFormat="false" ht="15.75" hidden="false" customHeight="false" outlineLevel="0" collapsed="false">
      <c r="A27" s="6" t="s">
        <v>66</v>
      </c>
      <c r="B27" s="9" t="n">
        <v>8</v>
      </c>
      <c r="D27" s="7" t="s">
        <v>67</v>
      </c>
      <c r="E27" s="1" t="s">
        <v>15</v>
      </c>
      <c r="F27" s="8" t="n">
        <f aca="false">2.79/8</f>
        <v>0.34875</v>
      </c>
      <c r="G27" s="8" t="n">
        <v>0</v>
      </c>
      <c r="H27" s="4" t="n">
        <f aca="false">B27*F27+G27</f>
        <v>2.79</v>
      </c>
      <c r="I27" s="4" t="str">
        <f aca="false">IF(A27="","","|"&amp;A27&amp;"|"&amp;B27&amp;"|"&amp;C27&amp;"|"&amp;IF(D27="","","[link]("&amp;D27&amp;")")&amp;"|"&amp;IF(E27=" ","",IF(F27="","","[link]("&amp;E27&amp;")"))&amp;"|"&amp;IF(F27="","",ROUND(F27,2))&amp;"|"&amp;IF(G27="","",ROUND(G27,2))&amp;"|"&amp;IF(H27="","",ROUND(H27,2))&amp;"|")</f>
        <v>|Borgmoer|8||[link](https://www.gamma.nl/assortiment/gamma-borgmoer-m5-rvs-8-stuks/p/B458288)||0.35|0|2.79|</v>
      </c>
    </row>
    <row r="28" customFormat="false" ht="15.75" hidden="false" customHeight="false" outlineLevel="0" collapsed="false">
      <c r="A28" s="6" t="s">
        <v>68</v>
      </c>
      <c r="B28" s="5" t="n">
        <v>11</v>
      </c>
      <c r="E28" s="1" t="s">
        <v>15</v>
      </c>
      <c r="F28" s="8" t="n">
        <f aca="false">7.12/10</f>
        <v>0.712</v>
      </c>
      <c r="G28" s="8" t="n">
        <v>0</v>
      </c>
      <c r="H28" s="4" t="n">
        <f aca="false">B28*F28+G28</f>
        <v>7.832</v>
      </c>
      <c r="I28" s="4" t="str">
        <f aca="false">IF(A28="","","|"&amp;A28&amp;"|"&amp;B28&amp;"|"&amp;C28&amp;"|"&amp;IF(D28="","","[link]("&amp;D28&amp;")")&amp;"|"&amp;IF(E28=" ","",IF(F28="","","[link]("&amp;E28&amp;")"))&amp;"|"&amp;IF(F28="","",ROUND(F28,2))&amp;"|"&amp;IF(G28="","",ROUND(G28,2))&amp;"|"&amp;IF(H28="","",ROUND(H28,2))&amp;"|")</f>
        <v>|V-slot wheels|11||||0.71|0|7.83|</v>
      </c>
    </row>
    <row r="29" customFormat="false" ht="15.75" hidden="false" customHeight="false" outlineLevel="0" collapsed="false">
      <c r="A29" s="6" t="s">
        <v>69</v>
      </c>
      <c r="B29" s="9" t="n">
        <v>5</v>
      </c>
      <c r="C29" s="1" t="s">
        <v>70</v>
      </c>
      <c r="F29" s="8" t="n">
        <v>1.44</v>
      </c>
      <c r="G29" s="8" t="n">
        <v>0</v>
      </c>
      <c r="H29" s="4" t="n">
        <f aca="false">B29*F29+G29</f>
        <v>7.2</v>
      </c>
      <c r="I29" s="4" t="str">
        <f aca="false">IF(A29="","","|"&amp;A29&amp;"|"&amp;B29&amp;"|"&amp;C29&amp;"|"&amp;IF(D29="","","[link]("&amp;D29&amp;")")&amp;"|"&amp;IF(E29=" ","",IF(F29="","","[link]("&amp;E29&amp;")"))&amp;"|"&amp;IF(F29="","",ROUND(F29,2))&amp;"|"&amp;IF(G29="","",ROUND(G29,2))&amp;"|"&amp;IF(H29="","",ROUND(H29,2))&amp;"|")</f>
        <v>|JLC PCB|5|(minimum 5 pieces)||[link]()|1.44|0|7.2|</v>
      </c>
    </row>
    <row r="30" customFormat="false" ht="15.75" hidden="false" customHeight="false" outlineLevel="0" collapsed="false">
      <c r="A30" s="6" t="s">
        <v>71</v>
      </c>
      <c r="B30" s="1" t="n">
        <v>3</v>
      </c>
      <c r="C30" s="1" t="s">
        <v>72</v>
      </c>
      <c r="D30" s="7" t="s">
        <v>73</v>
      </c>
      <c r="E30" s="7" t="s">
        <v>74</v>
      </c>
      <c r="F30" s="4" t="n">
        <f aca="false">(20.42+4.44)/10</f>
        <v>2.486</v>
      </c>
      <c r="G30" s="4" t="n">
        <v>0</v>
      </c>
      <c r="H30" s="4" t="n">
        <f aca="false">B30*F30+G30</f>
        <v>7.458</v>
      </c>
      <c r="I30" s="4" t="str">
        <f aca="false">IF(A30="","","|"&amp;A30&amp;"|"&amp;B30&amp;"|"&amp;C30&amp;"|"&amp;IF(D30="","","[link]("&amp;D30&amp;")")&amp;"|"&amp;IF(E30=" ","",IF(F30="","","[link]("&amp;E30&amp;")"))&amp;"|"&amp;IF(F30="","",ROUND(F30,2))&amp;"|"&amp;IF(G30="","",ROUND(G30,2))&amp;"|"&amp;IF(H30="","",ROUND(H30,2))&amp;"|")</f>
        <v>|PCB-TMC2208 motor controller|3|X, Y, Z|[link](https://nl.aliexpress.com/item/1005004014058136.html)|[link](https://wiki.fysetc.com/TMC2208/)|2.49|0|7.46|</v>
      </c>
    </row>
    <row r="31" customFormat="false" ht="15.75" hidden="false" customHeight="false" outlineLevel="0" collapsed="false">
      <c r="A31" s="6" t="s">
        <v>75</v>
      </c>
      <c r="B31" s="1" t="n">
        <v>3</v>
      </c>
      <c r="C31" s="1" t="s">
        <v>76</v>
      </c>
      <c r="D31" s="7" t="s">
        <v>77</v>
      </c>
      <c r="E31" s="1" t="s">
        <v>15</v>
      </c>
      <c r="F31" s="8" t="n">
        <v>0.95</v>
      </c>
      <c r="G31" s="4" t="n">
        <v>3.45</v>
      </c>
      <c r="H31" s="4" t="n">
        <f aca="false">B31*F31+G31</f>
        <v>6.3</v>
      </c>
      <c r="I31" s="4" t="str">
        <f aca="false">IF(A31="","","|"&amp;A31&amp;"|"&amp;B31&amp;"|"&amp;C31&amp;"|"&amp;IF(D31="","","[link]("&amp;D31&amp;")")&amp;"|"&amp;IF(E31=" ","",IF(F31="","","[link]("&amp;E31&amp;")"))&amp;"|"&amp;IF(F31="","",ROUND(F31,2))&amp;"|"&amp;IF(G31="","",ROUND(G31,2))&amp;"|"&amp;IF(H31="","",ROUND(H31,2))&amp;"|")</f>
        <v>|Microswitch|3|Used for homing, not as limit switch|[link](https://www.hobbyelectronica.nl/product/endstop-mechanisch-microswitch/)||0.95|3.45|6.3|</v>
      </c>
    </row>
    <row r="32" customFormat="false" ht="15.75" hidden="false" customHeight="false" outlineLevel="0" collapsed="false">
      <c r="A32" s="1" t="s">
        <v>78</v>
      </c>
      <c r="B32" s="1" t="n">
        <v>6</v>
      </c>
      <c r="D32" s="7" t="s">
        <v>79</v>
      </c>
      <c r="E32" s="1" t="s">
        <v>15</v>
      </c>
      <c r="F32" s="8" t="n">
        <v>1.95</v>
      </c>
      <c r="G32" s="4" t="n">
        <v>2.95</v>
      </c>
      <c r="H32" s="4" t="n">
        <f aca="false">B32*F32+G32</f>
        <v>14.65</v>
      </c>
      <c r="I32" s="4" t="str">
        <f aca="false">IF(A32="","","|"&amp;A32&amp;"|"&amp;B32&amp;"|"&amp;C32&amp;"|"&amp;IF(D32="","","[link]("&amp;D32&amp;")")&amp;"|"&amp;IF(E32=" ","",IF(F32="","","[link]("&amp;E32&amp;")"))&amp;"|"&amp;IF(F32="","",ROUND(F32,2))&amp;"|"&amp;IF(G32="","",ROUND(G32,2))&amp;"|"&amp;IF(H32="","",ROUND(H32,2))&amp;"|")</f>
        <v>|Tubing 5x7|6||[link](https://www.kiwi-electronics.com/nl/siliconen-slang-5x7mm-2-meter-10188)||1.95|2.95|14.65|</v>
      </c>
    </row>
    <row r="33" customFormat="false" ht="15.75" hidden="false" customHeight="false" outlineLevel="0" collapsed="false">
      <c r="A33" s="1" t="s">
        <v>80</v>
      </c>
      <c r="B33" s="1" t="n">
        <v>14</v>
      </c>
      <c r="D33" s="7" t="s">
        <v>81</v>
      </c>
      <c r="E33" s="1" t="s">
        <v>15</v>
      </c>
      <c r="F33" s="8" t="n">
        <f aca="false">(30.15-7.95)/10</f>
        <v>2.22</v>
      </c>
      <c r="G33" s="4" t="n">
        <v>7.95</v>
      </c>
      <c r="H33" s="4" t="n">
        <f aca="false">B33*F33+G33</f>
        <v>39.03</v>
      </c>
      <c r="I33" s="4" t="str">
        <f aca="false">IF(A33="","","|"&amp;A33&amp;"|"&amp;B33&amp;"|"&amp;C33&amp;"|"&amp;IF(D33="","","[link]("&amp;D33&amp;")")&amp;"|"&amp;IF(E33=" ","",IF(F33="","","[link]("&amp;E33&amp;")"))&amp;"|"&amp;IF(F33="","",ROUND(F33,2))&amp;"|"&amp;IF(G33="","",ROUND(G33,2))&amp;"|"&amp;IF(H33="","",ROUND(H33,2))&amp;"|")</f>
        <v>|Tubing 2x4|14||[link](https://www.slangenshop.nl/home/22-siliconen-slang-2-x-4-mm-.html)||2.22|7.95|39.03|</v>
      </c>
    </row>
    <row r="34" customFormat="false" ht="15.75" hidden="false" customHeight="false" outlineLevel="0" collapsed="false">
      <c r="A34" s="1" t="s">
        <v>82</v>
      </c>
      <c r="B34" s="1" t="n">
        <v>7</v>
      </c>
      <c r="D34" s="7" t="s">
        <v>83</v>
      </c>
      <c r="E34" s="1" t="s">
        <v>15</v>
      </c>
      <c r="F34" s="8" t="n">
        <v>3.88</v>
      </c>
      <c r="G34" s="4" t="n">
        <v>6.95</v>
      </c>
      <c r="H34" s="4" t="n">
        <f aca="false">B34*F34+G34</f>
        <v>34.11</v>
      </c>
      <c r="I34" s="4" t="str">
        <f aca="false">IF(A34="","","|"&amp;A34&amp;"|"&amp;B34&amp;"|"&amp;C34&amp;"|"&amp;IF(D34="","","[link]("&amp;D34&amp;")")&amp;"|"&amp;IF(E34=" ","",IF(F34="","","[link]("&amp;E34&amp;")"))&amp;"|"&amp;IF(F34="","",ROUND(F34,2))&amp;"|"&amp;IF(G34="","",ROUND(G34,2))&amp;"|"&amp;IF(H34="","",ROUND(H34,2))&amp;"|")</f>
        <v>|Tubing 3x5|7||[link](https://www.slangenshop.nl/home/25-siliconen-slang-3-x-5-mm-.html)||3.88|6.95|34.11|</v>
      </c>
    </row>
    <row r="35" customFormat="false" ht="15.75" hidden="false" customHeight="false" outlineLevel="0" collapsed="false">
      <c r="A35" s="15" t="s">
        <v>84</v>
      </c>
      <c r="B35" s="1" t="n">
        <v>7</v>
      </c>
      <c r="D35" s="7" t="s">
        <v>85</v>
      </c>
      <c r="E35" s="1" t="s">
        <v>15</v>
      </c>
      <c r="F35" s="8" t="n">
        <v>3.81</v>
      </c>
      <c r="G35" s="4" t="n">
        <v>7.95</v>
      </c>
      <c r="H35" s="4" t="n">
        <f aca="false">B35*F35+G35</f>
        <v>34.62</v>
      </c>
      <c r="I35" s="4" t="str">
        <f aca="false">IF(A35="","","|"&amp;A35&amp;"|"&amp;B35&amp;"|"&amp;C35&amp;"|"&amp;IF(D35="","","[link]("&amp;D35&amp;")")&amp;"|"&amp;IF(E35=" ","",IF(F35="","","[link]("&amp;E35&amp;")"))&amp;"|"&amp;IF(F35="","",ROUND(F35,2))&amp;"|"&amp;IF(G35="","",ROUND(G35,2))&amp;"|"&amp;IF(H35="","",ROUND(H35,2))&amp;"|")</f>
        <v>|Tubing 4x6|7||[link](https://www.slangenshop.nl/home/24-siliconen-slang-4-x-6-mm-.html?search_query=Siliconen+slang+4&amp;results=24)||3.81|7.95|34.62|</v>
      </c>
    </row>
    <row r="36" customFormat="false" ht="15.75" hidden="false" customHeight="false" outlineLevel="0" collapsed="false">
      <c r="A36" s="1" t="s">
        <v>86</v>
      </c>
      <c r="B36" s="1" t="n">
        <v>1</v>
      </c>
      <c r="D36" s="7" t="s">
        <v>87</v>
      </c>
      <c r="E36" s="1" t="s">
        <v>15</v>
      </c>
      <c r="F36" s="8" t="n">
        <f aca="false">1.21*7.06</f>
        <v>8.5426</v>
      </c>
      <c r="G36" s="4"/>
      <c r="H36" s="4" t="n">
        <f aca="false">B36*F36+G36</f>
        <v>8.5426</v>
      </c>
      <c r="I36" s="4" t="str">
        <f aca="false">IF(A36="","","|"&amp;A36&amp;"|"&amp;B36&amp;"|"&amp;C36&amp;"|"&amp;IF(D36="","","[link]("&amp;D36&amp;")")&amp;"|"&amp;IF(E36=" ","",IF(F36="","","[link]("&amp;E36&amp;")"))&amp;"|"&amp;IF(F36="","",ROUND(F36,2))&amp;"|"&amp;IF(G36="","",ROUND(G36,2))&amp;"|"&amp;IF(H36="","",ROUND(H36,2))&amp;"|")</f>
        <v>|0826B 0.5-20N 8mm|1||[link](https://www.aliexpress.com/item/1005004016711403.html?spm=a2g0o.cart.0.0.603638daNtRRN5&amp;mp=1)||8.54||8.54|</v>
      </c>
    </row>
    <row r="37" customFormat="false" ht="15.75" hidden="false" customHeight="false" outlineLevel="0" collapsed="false">
      <c r="A37" s="1" t="s">
        <v>88</v>
      </c>
      <c r="B37" s="1" t="n">
        <v>1</v>
      </c>
      <c r="D37" s="7" t="s">
        <v>87</v>
      </c>
      <c r="E37" s="1" t="s">
        <v>15</v>
      </c>
      <c r="F37" s="8" t="n">
        <f aca="false">1.21*13.52</f>
        <v>16.3592</v>
      </c>
      <c r="G37" s="4"/>
      <c r="H37" s="4" t="n">
        <f aca="false">B37*F37+G37</f>
        <v>16.3592</v>
      </c>
      <c r="I37" s="4" t="str">
        <f aca="false">IF(A37="","","|"&amp;A37&amp;"|"&amp;B37&amp;"|"&amp;C37&amp;"|"&amp;IF(D37="","","[link]("&amp;D37&amp;")")&amp;"|"&amp;IF(E37=" ","",IF(F37="","","[link]("&amp;E37&amp;")"))&amp;"|"&amp;IF(F37="","",ROUND(F37,2))&amp;"|"&amp;IF(G37="","",ROUND(G37,2))&amp;"|"&amp;IF(H37="","",ROUND(H37,2))&amp;"|")</f>
        <v>|1050B 4.5-50N 15mm|1||[link](https://www.aliexpress.com/item/1005004016711403.html?spm=a2g0o.cart.0.0.603638daNtRRN5&amp;mp=1)||16.36||16.36|</v>
      </c>
    </row>
    <row r="38" customFormat="false" ht="15.75" hidden="false" customHeight="false" outlineLevel="0" collapsed="false">
      <c r="A38" s="1" t="s">
        <v>89</v>
      </c>
      <c r="B38" s="1" t="n">
        <v>1</v>
      </c>
      <c r="D38" s="7" t="s">
        <v>90</v>
      </c>
      <c r="E38" s="1" t="s">
        <v>15</v>
      </c>
      <c r="F38" s="8" t="n">
        <v>1.31</v>
      </c>
      <c r="G38" s="4" t="n">
        <f aca="false">1.59/2</f>
        <v>0.795</v>
      </c>
      <c r="H38" s="4" t="n">
        <f aca="false">B38*F38+G38</f>
        <v>2.105</v>
      </c>
      <c r="I38" s="4" t="str">
        <f aca="false">IF(A38="","","|"&amp;A38&amp;"|"&amp;B38&amp;"|"&amp;C38&amp;"|"&amp;IF(D38="","","[link]("&amp;D38&amp;")")&amp;"|"&amp;IF(E38=" ","",IF(F38="","","[link]("&amp;E38&amp;")"))&amp;"|"&amp;IF(F38="","",ROUND(F38,2))&amp;"|"&amp;IF(G38="","",ROUND(G38,2))&amp;"|"&amp;IF(H38="","",ROUND(H38,2))&amp;"|")</f>
        <v>|Motion Film Pressure Sensor 100g|1||[link](https://www.aliexpress.com/item/32878178151.html?spm=a2g0o.cart.0.0.603638daNtRRN5&amp;mp=1)||1.31|0.8|2.11|</v>
      </c>
    </row>
    <row r="39" customFormat="false" ht="15.75" hidden="false" customHeight="false" outlineLevel="0" collapsed="false">
      <c r="A39" s="1" t="s">
        <v>91</v>
      </c>
      <c r="B39" s="1" t="n">
        <v>1</v>
      </c>
      <c r="D39" s="7" t="s">
        <v>90</v>
      </c>
      <c r="E39" s="1" t="s">
        <v>15</v>
      </c>
      <c r="F39" s="8" t="n">
        <v>1.31</v>
      </c>
      <c r="G39" s="4" t="n">
        <f aca="false">1.59/2</f>
        <v>0.795</v>
      </c>
      <c r="H39" s="4" t="n">
        <f aca="false">B39*F39+G39</f>
        <v>2.105</v>
      </c>
      <c r="I39" s="4" t="str">
        <f aca="false">IF(A39="","","|"&amp;A39&amp;"|"&amp;B39&amp;"|"&amp;C39&amp;"|"&amp;IF(D39="","","[link]("&amp;D39&amp;")")&amp;"|"&amp;IF(E39=" ","",IF(F39="","","[link]("&amp;E39&amp;")"))&amp;"|"&amp;IF(F39="","",ROUND(F39,2))&amp;"|"&amp;IF(G39="","",ROUND(G39,2))&amp;"|"&amp;IF(H39="","",ROUND(H39,2))&amp;"|")</f>
        <v>|Motion Film Pressure Sensor 1kg|1||[link](https://www.aliexpress.com/item/32878178151.html?spm=a2g0o.cart.0.0.603638daNtRRN5&amp;mp=1)||1.31|0.8|2.11|</v>
      </c>
    </row>
    <row r="40" customFormat="false" ht="15.75" hidden="false" customHeight="false" outlineLevel="0" collapsed="false">
      <c r="A40" s="1" t="s">
        <v>92</v>
      </c>
      <c r="B40" s="1" t="n">
        <v>1</v>
      </c>
      <c r="D40" s="7" t="s">
        <v>93</v>
      </c>
      <c r="E40" s="1" t="s">
        <v>15</v>
      </c>
      <c r="F40" s="8" t="n">
        <v>3.34</v>
      </c>
      <c r="G40" s="4" t="n">
        <v>3.61</v>
      </c>
      <c r="H40" s="4" t="n">
        <f aca="false">B40*F40+G40</f>
        <v>6.95</v>
      </c>
      <c r="I40" s="4" t="str">
        <f aca="false">IF(A40="","","|"&amp;A40&amp;"|"&amp;B40&amp;"|"&amp;C40&amp;"|"&amp;IF(D40="","","[link]("&amp;D40&amp;")")&amp;"|"&amp;IF(E40=" ","",IF(F40="","","[link]("&amp;E40&amp;")"))&amp;"|"&amp;IF(F40="","",ROUND(F40,2))&amp;"|"&amp;IF(G40="","",ROUND(G40,2))&amp;"|"&amp;IF(H40="","",ROUND(H40,2))&amp;"|")</f>
        <v>|Solenoid Valve 4.5mm inner 12V|1||[link](https://www.aliexpress.com/item/1005005553905520.html?spm=a2g0o.cart.0.0.603638daNtRRN5&amp;mp=1)||3.34|3.61|6.95|</v>
      </c>
    </row>
    <row r="41" customFormat="false" ht="15.75" hidden="false" customHeight="false" outlineLevel="0" collapsed="false">
      <c r="E41" s="1" t="s">
        <v>15</v>
      </c>
      <c r="F41" s="8"/>
      <c r="G41" s="4"/>
      <c r="H41" s="4" t="n">
        <f aca="false">B41*F41+G41</f>
        <v>0</v>
      </c>
      <c r="I41" s="4" t="str">
        <f aca="false">IF(A41="","","|"&amp;A41&amp;"|"&amp;B41&amp;"|"&amp;C41&amp;"|"&amp;IF(D41="","","[link]("&amp;D41&amp;")")&amp;"|"&amp;IF(E41=" ","",IF(F41="","","[link]("&amp;E41&amp;")"))&amp;"|"&amp;IF(F41="","",ROUND(F41,2))&amp;"|"&amp;IF(G41="","",ROUND(G41,2))&amp;"|"&amp;IF(H41="","",ROUND(H41,2))&amp;"|")</f>
        <v/>
      </c>
    </row>
    <row r="42" customFormat="false" ht="15.75" hidden="false" customHeight="false" outlineLevel="0" collapsed="false">
      <c r="E42" s="1" t="s">
        <v>15</v>
      </c>
      <c r="F42" s="8"/>
      <c r="G42" s="4"/>
      <c r="H42" s="4" t="n">
        <f aca="false">B42*F42+G42</f>
        <v>0</v>
      </c>
      <c r="I42" s="4" t="str">
        <f aca="false">IF(A42="","","|"&amp;A42&amp;"|"&amp;B42&amp;"|"&amp;C42&amp;"|"&amp;IF(D42="","","[link]("&amp;D42&amp;")")&amp;"|"&amp;IF(E42=" ","",IF(F42="","","[link]("&amp;E42&amp;")"))&amp;"|"&amp;IF(F42="","",ROUND(F42,2))&amp;"|"&amp;IF(G42="","",ROUND(G42,2))&amp;"|"&amp;IF(H42="","",ROUND(H42,2))&amp;"|")</f>
        <v/>
      </c>
    </row>
    <row r="43" customFormat="false" ht="15.75" hidden="false" customHeight="false" outlineLevel="0" collapsed="false">
      <c r="E43" s="1" t="s">
        <v>15</v>
      </c>
      <c r="F43" s="8"/>
      <c r="G43" s="4"/>
      <c r="H43" s="4" t="n">
        <f aca="false">B43*F43+G43</f>
        <v>0</v>
      </c>
      <c r="I43" s="4" t="str">
        <f aca="false">IF(A43="","","|"&amp;A43&amp;"|"&amp;B43&amp;"|"&amp;C43&amp;"|"&amp;IF(D43="","","[link]("&amp;D43&amp;")")&amp;"|"&amp;IF(E43=" ","",IF(F43="","","[link]("&amp;E43&amp;")"))&amp;"|"&amp;IF(F43="","",ROUND(F43,2))&amp;"|"&amp;IF(G43="","",ROUND(G43,2))&amp;"|"&amp;IF(H43="","",ROUND(H43,2))&amp;"|")</f>
        <v/>
      </c>
    </row>
    <row r="44" customFormat="false" ht="15.75" hidden="false" customHeight="false" outlineLevel="0" collapsed="false">
      <c r="E44" s="1" t="s">
        <v>15</v>
      </c>
      <c r="F44" s="8"/>
      <c r="G44" s="4"/>
      <c r="H44" s="4" t="n">
        <f aca="false">B44*F44+G44</f>
        <v>0</v>
      </c>
      <c r="I44" s="4" t="str">
        <f aca="false">IF(A44="","","|"&amp;A44&amp;"|"&amp;B44&amp;"|"&amp;C44&amp;"|"&amp;IF(D44="","","[link]("&amp;D44&amp;")")&amp;"|"&amp;IF(E44=" ","",IF(F44="","","[link]("&amp;E44&amp;")"))&amp;"|"&amp;IF(F44="","",ROUND(F44,2))&amp;"|"&amp;IF(G44="","",ROUND(G44,2))&amp;"|"&amp;IF(H44="","",ROUND(H44,2))&amp;"|")</f>
        <v/>
      </c>
    </row>
    <row r="45" customFormat="false" ht="15.75" hidden="false" customHeight="false" outlineLevel="0" collapsed="false">
      <c r="E45" s="1" t="s">
        <v>15</v>
      </c>
      <c r="F45" s="8"/>
      <c r="G45" s="4"/>
      <c r="H45" s="4" t="n">
        <f aca="false">B45*F45+G45</f>
        <v>0</v>
      </c>
      <c r="I45" s="4" t="str">
        <f aca="false">IF(A45="","","|"&amp;A45&amp;"|"&amp;B45&amp;"|"&amp;C45&amp;"|"&amp;IF(D45="","","[link]("&amp;D45&amp;")")&amp;"|"&amp;IF(E45=" ","",IF(F45="","","[link]("&amp;E45&amp;")"))&amp;"|"&amp;IF(F45="","",ROUND(F45,2))&amp;"|"&amp;IF(G45="","",ROUND(G45,2))&amp;"|"&amp;IF(H45="","",ROUND(H45,2))&amp;"|")</f>
        <v/>
      </c>
    </row>
    <row r="46" customFormat="false" ht="15.75" hidden="false" customHeight="false" outlineLevel="0" collapsed="false">
      <c r="E46" s="1" t="s">
        <v>15</v>
      </c>
      <c r="F46" s="8"/>
      <c r="G46" s="4"/>
      <c r="H46" s="4" t="n">
        <f aca="false">B46*F46+G46</f>
        <v>0</v>
      </c>
      <c r="I46" s="4" t="str">
        <f aca="false">IF(A46="","","|"&amp;A46&amp;"|"&amp;B46&amp;"|"&amp;C46&amp;"|"&amp;IF(D46="","","[link]("&amp;D46&amp;")")&amp;"|"&amp;IF(E46=" ","",IF(F46="","","[link]("&amp;E46&amp;")"))&amp;"|"&amp;IF(F46="","",ROUND(F46,2))&amp;"|"&amp;IF(G46="","",ROUND(G46,2))&amp;"|"&amp;IF(H46="","",ROUND(H46,2))&amp;"|")</f>
        <v/>
      </c>
    </row>
    <row r="47" customFormat="false" ht="15.75" hidden="false" customHeight="false" outlineLevel="0" collapsed="false">
      <c r="E47" s="1" t="s">
        <v>15</v>
      </c>
      <c r="F47" s="8"/>
      <c r="G47" s="4"/>
      <c r="H47" s="4" t="n">
        <f aca="false">B47*F47+G47</f>
        <v>0</v>
      </c>
      <c r="I47" s="4" t="str">
        <f aca="false">IF(A47="","","|"&amp;A47&amp;"|"&amp;B47&amp;"|"&amp;C47&amp;"|"&amp;IF(D47="","","[link]("&amp;D47&amp;")")&amp;"|"&amp;IF(E47=" ","",IF(F47="","","[link]("&amp;E47&amp;")"))&amp;"|"&amp;IF(F47="","",ROUND(F47,2))&amp;"|"&amp;IF(G47="","",ROUND(G47,2))&amp;"|"&amp;IF(H47="","",ROUND(H47,2))&amp;"|")</f>
        <v/>
      </c>
    </row>
    <row r="48" customFormat="false" ht="15.75" hidden="false" customHeight="false" outlineLevel="0" collapsed="false">
      <c r="A48" s="16" t="s">
        <v>94</v>
      </c>
      <c r="B48" s="16"/>
      <c r="C48" s="16"/>
      <c r="D48" s="16"/>
      <c r="E48" s="16"/>
      <c r="F48" s="16"/>
      <c r="G48" s="16"/>
      <c r="H48" s="17" t="n">
        <f aca="false">SUM(H3:H47)</f>
        <v>722.545133333333</v>
      </c>
      <c r="I48" s="4"/>
    </row>
    <row r="49" customFormat="false" ht="15.75" hidden="false" customHeight="false" outlineLevel="0" collapsed="false">
      <c r="A49" s="6" t="s">
        <v>95</v>
      </c>
      <c r="B49" s="1" t="n">
        <v>3</v>
      </c>
      <c r="C49" s="1" t="s">
        <v>96</v>
      </c>
      <c r="D49" s="7" t="s">
        <v>97</v>
      </c>
      <c r="E49" s="1" t="s">
        <v>15</v>
      </c>
      <c r="F49" s="8" t="n">
        <v>22.62</v>
      </c>
      <c r="G49" s="4" t="n">
        <v>6.95</v>
      </c>
      <c r="H49" s="4" t="n">
        <f aca="false">(F49*B49)+G49</f>
        <v>74.81</v>
      </c>
      <c r="I49" s="4" t="str">
        <f aca="false">IF(A49="","","|"&amp;A49&amp;"|"&amp;B49&amp;"|"&amp;C49&amp;"|"&amp;IF(D49="","","[link]("&amp;D49&amp;")")&amp;"|"&amp;IF(E49=" ","",IF(F49="","","[link]("&amp;E49&amp;")"))&amp;"|"&amp;IF(F49="","",ROUND(F49,2))&amp;"|"&amp;IF(G49="","",ROUND(G49,2))&amp;"|"&amp;IF(H49="","",ROUND(H49,2))&amp;"|")</f>
        <v>|Steppermotor|3|We actually use 1.8deg 2.4Ohm|[link](https://www.hobbyelectronica.nl/product/nema-17-stappen-motor-42byghw609/?gclid=CjwKCAjwzeqVBhAoEiwAOrEmzQjIdiWzwSG4m0PU8pULIl3Q7mAKpvSpVphw8W75q5Q6bFC5tXKSYxoC3OMQAvD_BwE)||22.62|6.95|74.81|</v>
      </c>
    </row>
    <row r="50" customFormat="false" ht="15.75" hidden="false" customHeight="false" outlineLevel="0" collapsed="false">
      <c r="A50" s="6" t="s">
        <v>98</v>
      </c>
      <c r="B50" s="1" t="n">
        <v>7</v>
      </c>
      <c r="F50" s="8" t="n">
        <v>0.149</v>
      </c>
      <c r="G50" s="4"/>
      <c r="H50" s="4" t="n">
        <f aca="false">(F50*B50)+G50</f>
        <v>1.043</v>
      </c>
      <c r="I50" s="4" t="str">
        <f aca="false">IF(A50="","","|"&amp;A50&amp;"|"&amp;B50&amp;"|"&amp;C50&amp;"|"&amp;IF(D50="","","[link]("&amp;D50&amp;")")&amp;"|"&amp;IF(E50=" ","",IF(F50="","","[link]("&amp;E50&amp;")"))&amp;"|"&amp;IF(F50="","",ROUND(F50,2))&amp;"|"&amp;IF(G50="","",ROUND(G50,2))&amp;"|"&amp;IF(H50="","",ROUND(H50,2))&amp;"|")</f>
        <v>|Connector MTA-100-2P|7|||[link]()|0.15||1.04|</v>
      </c>
    </row>
    <row r="51" customFormat="false" ht="15.75" hidden="false" customHeight="false" outlineLevel="0" collapsed="false">
      <c r="A51" s="6" t="s">
        <v>99</v>
      </c>
      <c r="B51" s="1" t="n">
        <v>1</v>
      </c>
      <c r="F51" s="8" t="n">
        <v>0.143</v>
      </c>
      <c r="G51" s="4"/>
      <c r="H51" s="4" t="n">
        <f aca="false">(F51*B51)+G51</f>
        <v>0.143</v>
      </c>
      <c r="I51" s="4" t="str">
        <f aca="false">IF(A51="","","|"&amp;A51&amp;"|"&amp;B51&amp;"|"&amp;C51&amp;"|"&amp;IF(D51="","","[link]("&amp;D51&amp;")")&amp;"|"&amp;IF(E51=" ","",IF(F51="","","[link]("&amp;E51&amp;")"))&amp;"|"&amp;IF(F51="","",ROUND(F51,2))&amp;"|"&amp;IF(G51="","",ROUND(G51,2))&amp;"|"&amp;IF(H51="","",ROUND(H51,2))&amp;"|")</f>
        <v>|Connector MTA-100-3P|1|||[link]()|0.14||0.14|</v>
      </c>
    </row>
    <row r="52" customFormat="false" ht="15.75" hidden="false" customHeight="false" outlineLevel="0" collapsed="false">
      <c r="A52" s="6" t="s">
        <v>100</v>
      </c>
      <c r="B52" s="1" t="n">
        <v>4</v>
      </c>
      <c r="F52" s="8" t="n">
        <v>0.235</v>
      </c>
      <c r="G52" s="4"/>
      <c r="H52" s="4" t="n">
        <f aca="false">(F52*B52)+G52</f>
        <v>0.94</v>
      </c>
      <c r="I52" s="4" t="str">
        <f aca="false">IF(A52="","","|"&amp;A52&amp;"|"&amp;B52&amp;"|"&amp;C52&amp;"|"&amp;IF(D52="","","[link]("&amp;D52&amp;")")&amp;"|"&amp;IF(E52=" ","",IF(F52="","","[link]("&amp;E52&amp;")"))&amp;"|"&amp;IF(F52="","",ROUND(F52,2))&amp;"|"&amp;IF(G52="","",ROUND(G52,2))&amp;"|"&amp;IF(H52="","",ROUND(H52,2))&amp;"|")</f>
        <v>|Connector MTA-100-4P|4|||[link]()|0.24||0.94|</v>
      </c>
    </row>
    <row r="53" customFormat="false" ht="15.75" hidden="false" customHeight="false" outlineLevel="0" collapsed="false">
      <c r="A53" s="6" t="s">
        <v>101</v>
      </c>
      <c r="B53" s="1" t="n">
        <v>2</v>
      </c>
      <c r="E53" s="1" t="s">
        <v>15</v>
      </c>
      <c r="F53" s="8" t="n">
        <v>0.22</v>
      </c>
      <c r="G53" s="4"/>
      <c r="H53" s="4" t="n">
        <f aca="false">(F53*B53)+G53</f>
        <v>0.44</v>
      </c>
      <c r="I53" s="4" t="str">
        <f aca="false">IF(A53="","","|"&amp;A53&amp;"|"&amp;B53&amp;"|"&amp;C53&amp;"|"&amp;IF(D53="","","[link]("&amp;D53&amp;")")&amp;"|"&amp;IF(E53=" ","",IF(F53="","","[link]("&amp;E53&amp;")"))&amp;"|"&amp;IF(F53="","",ROUND(F53,2))&amp;"|"&amp;IF(G53="","",ROUND(G53,2))&amp;"|"&amp;IF(H53="","",ROUND(H53,2))&amp;"|")</f>
        <v>|Connector MTA-156-2P|2||||0.22||0.44|</v>
      </c>
    </row>
    <row r="54" customFormat="false" ht="15.75" hidden="false" customHeight="false" outlineLevel="0" collapsed="false">
      <c r="A54" s="6" t="s">
        <v>102</v>
      </c>
      <c r="B54" s="1" t="n">
        <v>7</v>
      </c>
      <c r="C54" s="1" t="s">
        <v>103</v>
      </c>
      <c r="F54" s="8" t="n">
        <v>0.105</v>
      </c>
      <c r="G54" s="4"/>
      <c r="H54" s="4" t="n">
        <f aca="false">(F54*B54)+G54</f>
        <v>0.735</v>
      </c>
      <c r="I54" s="4" t="str">
        <f aca="false">IF(A54="","","|"&amp;A54&amp;"|"&amp;B54&amp;"|"&amp;C54&amp;"|"&amp;IF(D54="","","[link]("&amp;D54&amp;")")&amp;"|"&amp;IF(E54=" ","",IF(F54="","","[link]("&amp;E54&amp;")"))&amp;"|"&amp;IF(F54="","",ROUND(F54,2))&amp;"|"&amp;IF(G54="","",ROUND(G54,2))&amp;"|"&amp;IF(H54="","",ROUND(H54,2))&amp;"|")</f>
        <v>|PCB-MTA-100-2P|7|H2,H3,H4,H11,H12,H13,H14||[link]()|0.11||0.74|</v>
      </c>
    </row>
    <row r="55" customFormat="false" ht="15.75" hidden="false" customHeight="false" outlineLevel="0" collapsed="false">
      <c r="A55" s="6" t="s">
        <v>104</v>
      </c>
      <c r="B55" s="1" t="n">
        <v>1</v>
      </c>
      <c r="C55" s="1" t="s">
        <v>105</v>
      </c>
      <c r="D55" s="7" t="s">
        <v>106</v>
      </c>
      <c r="E55" s="1" t="s">
        <v>15</v>
      </c>
      <c r="F55" s="8" t="n">
        <v>0.072</v>
      </c>
      <c r="G55" s="4"/>
      <c r="H55" s="4" t="n">
        <f aca="false">(F55*B55)+G55</f>
        <v>0.072</v>
      </c>
      <c r="I55" s="4" t="str">
        <f aca="false">IF(A55="","","|"&amp;A55&amp;"|"&amp;B55&amp;"|"&amp;C55&amp;"|"&amp;IF(D55="","","[link]("&amp;D55&amp;")")&amp;"|"&amp;IF(E55=" ","",IF(F55="","","[link]("&amp;E55&amp;")"))&amp;"|"&amp;IF(F55="","",ROUND(F55,2))&amp;"|"&amp;IF(G55="","",ROUND(G55,2))&amp;"|"&amp;IF(H55="","",ROUND(H55,2))&amp;"|")</f>
        <v>|PCB-MTA-100-3P|1|for LED D=H5|[link](http://www.te.com/commerce/DocumentDelivery/DDEController?Action=srchrtrv&amp;DocNm=640454&amp;DocType=Customer+Drawing&amp;DocLang=English&amp;PartCntxt=640454-5)||0.07||0.07|</v>
      </c>
    </row>
    <row r="56" customFormat="false" ht="15.75" hidden="false" customHeight="false" outlineLevel="0" collapsed="false">
      <c r="A56" s="6" t="s">
        <v>107</v>
      </c>
      <c r="B56" s="1" t="n">
        <v>4</v>
      </c>
      <c r="C56" s="1" t="s">
        <v>108</v>
      </c>
      <c r="D56" s="7" t="s">
        <v>106</v>
      </c>
      <c r="E56" s="1" t="s">
        <v>15</v>
      </c>
      <c r="F56" s="8" t="n">
        <v>0.128</v>
      </c>
      <c r="G56" s="4"/>
      <c r="H56" s="4" t="n">
        <f aca="false">(F56*B56)+G56</f>
        <v>0.512</v>
      </c>
      <c r="I56" s="4" t="str">
        <f aca="false">IF(A56="","","|"&amp;A56&amp;"|"&amp;B56&amp;"|"&amp;C56&amp;"|"&amp;IF(D56="","","[link]("&amp;D56&amp;")")&amp;"|"&amp;IF(E56=" ","",IF(F56="","","[link]("&amp;E56&amp;")"))&amp;"|"&amp;IF(F56="","",ROUND(F56,2))&amp;"|"&amp;IF(G56="","",ROUND(G56,2))&amp;"|"&amp;IF(H56="","",ROUND(H56,2))&amp;"|")</f>
        <v>|PCB-MTA-100-4P|4|H8, H9, H10,H16|[link](http://www.te.com/commerce/DocumentDelivery/DDEController?Action=srchrtrv&amp;DocNm=640454&amp;DocType=Customer+Drawing&amp;DocLang=English&amp;PartCntxt=640454-5)||0.13||0.51|</v>
      </c>
    </row>
    <row r="57" customFormat="false" ht="15.75" hidden="false" customHeight="false" outlineLevel="0" collapsed="false">
      <c r="A57" s="6" t="s">
        <v>109</v>
      </c>
      <c r="B57" s="1" t="n">
        <v>2</v>
      </c>
      <c r="C57" s="1" t="s">
        <v>110</v>
      </c>
      <c r="F57" s="8" t="n">
        <v>0.105</v>
      </c>
      <c r="G57" s="4"/>
      <c r="H57" s="4" t="n">
        <f aca="false">(F57*B57)+G57</f>
        <v>0.21</v>
      </c>
      <c r="I57" s="4" t="str">
        <f aca="false">IF(A57="","","|"&amp;A57&amp;"|"&amp;B57&amp;"|"&amp;C57&amp;"|"&amp;IF(D57="","","[link]("&amp;D57&amp;")")&amp;"|"&amp;IF(E57=" ","",IF(F57="","","[link]("&amp;E57&amp;")"))&amp;"|"&amp;IF(F57="","",ROUND(F57,2))&amp;"|"&amp;IF(G57="","",ROUND(G57,2))&amp;"|"&amp;IF(H57="","",ROUND(H57,2))&amp;"|")</f>
        <v>|PCB-MTA-156-2P|2|H6, H7||[link]()|0.11||0.21|</v>
      </c>
    </row>
    <row r="58" customFormat="false" ht="15.75" hidden="false" customHeight="false" outlineLevel="0" collapsed="false">
      <c r="A58" s="6" t="s">
        <v>111</v>
      </c>
      <c r="B58" s="1" t="n">
        <v>4</v>
      </c>
      <c r="C58" s="1" t="s">
        <v>112</v>
      </c>
      <c r="D58" s="1" t="s">
        <v>15</v>
      </c>
      <c r="F58" s="8" t="n">
        <v>0.933</v>
      </c>
      <c r="G58" s="4"/>
      <c r="H58" s="4" t="n">
        <f aca="false">(F58*B58)+G58</f>
        <v>3.732</v>
      </c>
      <c r="I58" s="4" t="str">
        <f aca="false">IF(A58="","","|"&amp;A58&amp;"|"&amp;B58&amp;"|"&amp;C58&amp;"|"&amp;IF(D58="","","[link]("&amp;D58&amp;")")&amp;"|"&amp;IF(E58=" ","",IF(F58="","","[link]("&amp;E58&amp;")"))&amp;"|"&amp;IF(F58="","",ROUND(F58,2))&amp;"|"&amp;IF(G58="","",ROUND(G58,2))&amp;"|"&amp;IF(H58="","",ROUND(H58,2))&amp;"|")</f>
        <v>|PCB-L2203N|4|Q1,Q2,Q3,Q4|[link]( )|[link]()|0.93||3.73|</v>
      </c>
    </row>
    <row r="59" customFormat="false" ht="15.75" hidden="false" customHeight="false" outlineLevel="0" collapsed="false">
      <c r="A59" s="1" t="s">
        <v>113</v>
      </c>
      <c r="B59" s="5" t="n">
        <v>6</v>
      </c>
      <c r="C59" s="1" t="s">
        <v>114</v>
      </c>
      <c r="D59" s="1" t="s">
        <v>15</v>
      </c>
      <c r="F59" s="8" t="n">
        <f aca="false">29/3725</f>
        <v>0.00778523489932886</v>
      </c>
      <c r="G59" s="8"/>
      <c r="H59" s="4" t="n">
        <f aca="false">(F59*B59)+G59</f>
        <v>0.0467114093959732</v>
      </c>
      <c r="I59" s="4" t="str">
        <f aca="false">IF(A59="","","|"&amp;A59&amp;"|"&amp;B59&amp;"|"&amp;C59&amp;"|"&amp;IF(D59="","","[link]("&amp;D59&amp;")")&amp;"|"&amp;IF(E59=" ","",IF(F59="","","[link]("&amp;E59&amp;")"))&amp;"|"&amp;IF(F59="","",ROUND(F59,2))&amp;"|"&amp;IF(G59="","",ROUND(G59,2))&amp;"|"&amp;IF(H59="","",ROUND(H59,2))&amp;"|")</f>
        <v>|PCB-C0805 100nF|6|C1,C2,C3,C4,C5,C6|[link]( )|[link]()|0.01||0.05|</v>
      </c>
    </row>
    <row r="60" customFormat="false" ht="15.75" hidden="false" customHeight="false" outlineLevel="0" collapsed="false">
      <c r="A60" s="1" t="s">
        <v>115</v>
      </c>
      <c r="B60" s="1" t="n">
        <v>7</v>
      </c>
      <c r="C60" s="1" t="s">
        <v>116</v>
      </c>
      <c r="D60" s="1" t="s">
        <v>15</v>
      </c>
      <c r="F60" s="8" t="n">
        <f aca="false">29/3725</f>
        <v>0.00778523489932886</v>
      </c>
      <c r="G60" s="4"/>
      <c r="H60" s="4" t="n">
        <f aca="false">(F60*B60)+G60</f>
        <v>0.054496644295302</v>
      </c>
      <c r="I60" s="4" t="str">
        <f aca="false">IF(A60="","","|"&amp;A60&amp;"|"&amp;B60&amp;"|"&amp;C60&amp;"|"&amp;IF(D60="","","[link]("&amp;D60&amp;")")&amp;"|"&amp;IF(E60=" ","",IF(F60="","","[link]("&amp;E60&amp;")"))&amp;"|"&amp;IF(F60="","",ROUND(F60,2))&amp;"|"&amp;IF(G60="","",ROUND(G60,2))&amp;"|"&amp;IF(H60="","",ROUND(H60,2))&amp;"|")</f>
        <v>|PCB-R0805 1k|7|R1,R2,R3,R4,R5,R6,R7|[link]( )|[link]()|0.01||0.05|</v>
      </c>
    </row>
    <row r="61" customFormat="false" ht="15.75" hidden="false" customHeight="false" outlineLevel="0" collapsed="false">
      <c r="A61" s="1" t="s">
        <v>117</v>
      </c>
      <c r="B61" s="1" t="n">
        <v>1</v>
      </c>
      <c r="C61" s="1" t="s">
        <v>118</v>
      </c>
      <c r="D61" s="1" t="s">
        <v>15</v>
      </c>
      <c r="F61" s="8" t="n">
        <f aca="false">29/3725</f>
        <v>0.00778523489932886</v>
      </c>
      <c r="G61" s="4"/>
      <c r="H61" s="4" t="n">
        <f aca="false">(F61*B61)+G61</f>
        <v>0.00778523489932886</v>
      </c>
      <c r="I61" s="4" t="str">
        <f aca="false">IF(A61="","","|"&amp;A61&amp;"|"&amp;B61&amp;"|"&amp;C61&amp;"|"&amp;IF(D61="","","[link]("&amp;D61&amp;")")&amp;"|"&amp;IF(E61=" ","",IF(F61="","","[link]("&amp;E61&amp;")"))&amp;"|"&amp;IF(F61="","",ROUND(F61,2))&amp;"|"&amp;IF(G61="","",ROUND(G61,2))&amp;"|"&amp;IF(H61="","",ROUND(H61,2))&amp;"|")</f>
        <v>|PCB-R0805 100R|1|R8|[link]( )|[link]()|0.01||0.01|</v>
      </c>
    </row>
    <row r="62" customFormat="false" ht="15.75" hidden="false" customHeight="false" outlineLevel="0" collapsed="false">
      <c r="A62" s="1" t="s">
        <v>119</v>
      </c>
      <c r="B62" s="1" t="n">
        <v>1</v>
      </c>
      <c r="C62" s="1" t="s">
        <v>120</v>
      </c>
      <c r="D62" s="1" t="s">
        <v>15</v>
      </c>
      <c r="F62" s="8" t="n">
        <f aca="false">29/3725</f>
        <v>0.00778523489932886</v>
      </c>
      <c r="G62" s="4"/>
      <c r="H62" s="4" t="n">
        <f aca="false">(F62*B62)+G62</f>
        <v>0.00778523489932886</v>
      </c>
      <c r="I62" s="4" t="str">
        <f aca="false">IF(A62="","","|"&amp;A62&amp;"|"&amp;B62&amp;"|"&amp;C62&amp;"|"&amp;IF(D62="","","[link]("&amp;D62&amp;")")&amp;"|"&amp;IF(E62=" ","",IF(F62="","","[link]("&amp;E62&amp;")"))&amp;"|"&amp;IF(F62="","",ROUND(F62,2))&amp;"|"&amp;IF(G62="","",ROUND(G62,2))&amp;"|"&amp;IF(H62="","",ROUND(H62,2))&amp;"|")</f>
        <v>|PCB-R0805 10R|1|R9|[link]( )|[link]()|0.01||0.01|</v>
      </c>
    </row>
    <row r="63" customFormat="false" ht="15.75" hidden="false" customHeight="false" outlineLevel="0" collapsed="false">
      <c r="A63" s="6" t="s">
        <v>121</v>
      </c>
      <c r="B63" s="1" t="n">
        <v>1</v>
      </c>
      <c r="C63" s="1" t="s">
        <v>122</v>
      </c>
      <c r="D63" s="1" t="s">
        <v>15</v>
      </c>
      <c r="F63" s="8" t="n">
        <f aca="false">59.39/15</f>
        <v>3.95933333333333</v>
      </c>
      <c r="G63" s="4"/>
      <c r="H63" s="4" t="n">
        <f aca="false">(F63*B63)+G63</f>
        <v>3.95933333333333</v>
      </c>
      <c r="I63" s="4" t="str">
        <f aca="false">IF(A63="","","|"&amp;A63&amp;"|"&amp;B63&amp;"|"&amp;C63&amp;"|"&amp;IF(D63="","","[link]("&amp;D63&amp;")")&amp;"|"&amp;IF(E63=" ","",IF(F63="","","[link]("&amp;E63&amp;")"))&amp;"|"&amp;IF(F63="","",ROUND(F63,2))&amp;"|"&amp;IF(G63="","",ROUND(G63,2))&amp;"|"&amp;IF(H63="","",ROUND(H63,2))&amp;"|")</f>
        <v>|PCB-DOIT ESP32 DEVKIT V1|1|U1|[link]( )|[link]()|3.96||3.96|</v>
      </c>
    </row>
    <row r="64" customFormat="false" ht="15.75" hidden="false" customHeight="false" outlineLevel="0" collapsed="false">
      <c r="A64" s="6" t="s">
        <v>123</v>
      </c>
      <c r="B64" s="1" t="n">
        <v>1</v>
      </c>
      <c r="C64" s="1" t="s">
        <v>124</v>
      </c>
      <c r="D64" s="7" t="s">
        <v>125</v>
      </c>
      <c r="E64" s="1" t="s">
        <v>15</v>
      </c>
      <c r="F64" s="8" t="n">
        <v>7.5735</v>
      </c>
      <c r="G64" s="4"/>
      <c r="H64" s="4" t="n">
        <f aca="false">(F64*B64)+G64</f>
        <v>7.5735</v>
      </c>
      <c r="I64" s="4" t="str">
        <f aca="false">IF(A64="","","|"&amp;A64&amp;"|"&amp;B64&amp;"|"&amp;C64&amp;"|"&amp;IF(D64="","","[link]("&amp;D64&amp;")")&amp;"|"&amp;IF(E64=" ","",IF(F64="","","[link]("&amp;E64&amp;")"))&amp;"|"&amp;IF(F64="","",ROUND(F64,2))&amp;"|"&amp;IF(G64="","",ROUND(G64,2))&amp;"|"&amp;IF(H64="","",ROUND(H64,2))&amp;"|")</f>
        <v>|PCB-R78B5020|1|U2|[link](https://nl.farnell.com/recom-power/r-78b5-0-1-0l/dc-dc-converter-5v-1a/dp/1793162)||7.57||7.57|</v>
      </c>
    </row>
    <row r="65" customFormat="false" ht="15.75" hidden="false" customHeight="false" outlineLevel="0" collapsed="false">
      <c r="A65" s="6" t="s">
        <v>126</v>
      </c>
      <c r="B65" s="1" t="n">
        <v>2</v>
      </c>
      <c r="C65" s="1" t="s">
        <v>127</v>
      </c>
      <c r="F65" s="8" t="n">
        <v>0.061</v>
      </c>
      <c r="G65" s="4" t="n">
        <v>0</v>
      </c>
      <c r="H65" s="4" t="n">
        <f aca="false">(F65*B65)+G65</f>
        <v>0.122</v>
      </c>
      <c r="I65" s="4" t="str">
        <f aca="false">IF(A65="","","|"&amp;A65&amp;"|"&amp;B65&amp;"|"&amp;C65&amp;"|"&amp;IF(D65="","","[link]("&amp;D65&amp;")")&amp;"|"&amp;IF(E65=" ","",IF(F65="","","[link]("&amp;E65&amp;")"))&amp;"|"&amp;IF(F65="","",ROUND(F65,2))&amp;"|"&amp;IF(G65="","",ROUND(G65,2))&amp;"|"&amp;IF(H65="","",ROUND(H65,2))&amp;"|")</f>
        <v>|PCB-SIL header|2|Steppers, H1||[link]()|0.06|0|0.12|</v>
      </c>
    </row>
    <row r="66" customFormat="false" ht="15.75" hidden="false" customHeight="false" outlineLevel="0" collapsed="false">
      <c r="A66" s="1" t="s">
        <v>128</v>
      </c>
      <c r="B66" s="1" t="n">
        <v>1</v>
      </c>
      <c r="F66" s="8"/>
      <c r="G66" s="4"/>
      <c r="H66" s="4" t="n">
        <f aca="false">(F66*B66)+G66</f>
        <v>0</v>
      </c>
      <c r="I66" s="4" t="str">
        <f aca="false">IF(A66="","","|"&amp;A66&amp;"|"&amp;B66&amp;"|"&amp;C66&amp;"|"&amp;IF(D66="","","[link]("&amp;D66&amp;")")&amp;"|"&amp;IF(E66=" ","",IF(F66="","","[link]("&amp;E66&amp;")"))&amp;"|"&amp;IF(F66="","",ROUND(F66,2))&amp;"|"&amp;IF(G66="","",ROUND(G66,2))&amp;"|"&amp;IF(H66="","",ROUND(H66,2))&amp;"|")</f>
        <v>|12V power supply|1||||||0|</v>
      </c>
    </row>
    <row r="67" customFormat="false" ht="15.75" hidden="false" customHeight="false" outlineLevel="0" collapsed="false">
      <c r="A67" s="1" t="s">
        <v>129</v>
      </c>
      <c r="F67" s="8"/>
      <c r="G67" s="4"/>
      <c r="H67" s="4" t="n">
        <f aca="false">(F67*B67)+G67</f>
        <v>0</v>
      </c>
      <c r="I67" s="4" t="str">
        <f aca="false">IF(A67="","","|"&amp;A67&amp;"|"&amp;B67&amp;"|"&amp;C67&amp;"|"&amp;IF(D67="","","[link]("&amp;D67&amp;")")&amp;"|"&amp;IF(E67=" ","",IF(F67="","","[link]("&amp;E67&amp;")"))&amp;"|"&amp;IF(F67="","",ROUND(F67,2))&amp;"|"&amp;IF(G67="","",ROUND(G67,2))&amp;"|"&amp;IF(H67="","",ROUND(H67,2))&amp;"|")</f>
        <v>|Wires|||||||0|</v>
      </c>
    </row>
    <row r="68" customFormat="false" ht="15.75" hidden="false" customHeight="false" outlineLevel="0" collapsed="false">
      <c r="A68" s="1" t="s">
        <v>130</v>
      </c>
      <c r="F68" s="8"/>
      <c r="G68" s="4"/>
      <c r="H68" s="4" t="n">
        <f aca="false">(F68*B68)+G68</f>
        <v>0</v>
      </c>
      <c r="I68" s="4" t="str">
        <f aca="false">IF(A68="","","|"&amp;A68&amp;"|"&amp;B68&amp;"|"&amp;C68&amp;"|"&amp;IF(D68="","","[link]("&amp;D68&amp;")")&amp;"|"&amp;IF(E68=" ","",IF(F68="","","[link]("&amp;E68&amp;")"))&amp;"|"&amp;IF(F68="","",ROUND(F68,2))&amp;"|"&amp;IF(G68="","",ROUND(G68,2))&amp;"|"&amp;IF(H68="","",ROUND(H68,2))&amp;"|")</f>
        <v>|Wire sleeves?|||||||0|</v>
      </c>
    </row>
    <row r="69" customFormat="false" ht="15.75" hidden="false" customHeight="false" outlineLevel="0" collapsed="false">
      <c r="A69" s="1" t="s">
        <v>131</v>
      </c>
      <c r="B69" s="1" t="n">
        <v>13</v>
      </c>
      <c r="F69" s="8" t="n">
        <f aca="false">1109.68/13</f>
        <v>85.36</v>
      </c>
      <c r="G69" s="4"/>
      <c r="H69" s="4" t="n">
        <f aca="false">(F69*B69)+G69</f>
        <v>1109.68</v>
      </c>
      <c r="I69" s="4" t="str">
        <f aca="false">IF(A69="","","|"&amp;A69&amp;"|"&amp;B69&amp;"|"&amp;C69&amp;"|"&amp;IF(D69="","","[link]("&amp;D69&amp;")")&amp;"|"&amp;IF(E69=" ","",IF(F69="","","[link]("&amp;E69&amp;")"))&amp;"|"&amp;IF(F69="","",ROUND(F69,2))&amp;"|"&amp;IF(G69="","",ROUND(G69,2))&amp;"|"&amp;IF(H69="","",ROUND(H69,2))&amp;"|")</f>
        <v>|PCBway Dispensers|13|||[link]()|85.36||1109.68|</v>
      </c>
    </row>
    <row r="70" customFormat="false" ht="15.75" hidden="false" customHeight="false" outlineLevel="0" collapsed="false">
      <c r="A70" s="1" t="s">
        <v>132</v>
      </c>
      <c r="B70" s="1" t="n">
        <v>50</v>
      </c>
      <c r="D70" s="18" t="s">
        <v>133</v>
      </c>
      <c r="E70" s="1" t="s">
        <v>15</v>
      </c>
      <c r="F70" s="8"/>
      <c r="G70" s="4"/>
      <c r="H70" s="4" t="n">
        <f aca="false">(F70*B70)+G70</f>
        <v>0</v>
      </c>
      <c r="I70" s="4" t="str">
        <f aca="false">IF(A70="","","|"&amp;A70&amp;"|"&amp;B70&amp;"|"&amp;C70&amp;"|"&amp;IF(D70="","","[link]("&amp;D70&amp;")")&amp;"|"&amp;IF(E70=" ","",IF(F70="","","[link]("&amp;E70&amp;")"))&amp;"|"&amp;IF(F70="","",ROUND(F70,2))&amp;"|"&amp;IF(G70="","",ROUND(G70,2))&amp;"|"&amp;IF(H70="","",ROUND(H70,2))&amp;"|")</f>
        <v>|0805 4.7UH|50||[link](https://nl.aliexpress.com/item/1005006311167114.html?spm=a2g0o.order_list.order_list_main.5.3f8379d22lLZlI&amp;gatewayAdapt=glo2nld)||||0|</v>
      </c>
    </row>
    <row r="71" customFormat="false" ht="15.75" hidden="false" customHeight="false" outlineLevel="0" collapsed="false">
      <c r="A71" s="1" t="s">
        <v>134</v>
      </c>
      <c r="B71" s="1" t="n">
        <v>2</v>
      </c>
      <c r="D71" s="18" t="s">
        <v>135</v>
      </c>
      <c r="E71" s="1" t="s">
        <v>15</v>
      </c>
      <c r="F71" s="8" t="n">
        <f aca="false">3.58/2</f>
        <v>1.79</v>
      </c>
      <c r="G71" s="4"/>
      <c r="H71" s="4" t="n">
        <f aca="false">(F71*B71)+G71</f>
        <v>3.58</v>
      </c>
      <c r="I71" s="4"/>
    </row>
    <row r="72" customFormat="false" ht="15.75" hidden="false" customHeight="false" outlineLevel="0" collapsed="false">
      <c r="A72" s="1" t="s">
        <v>136</v>
      </c>
      <c r="B72" s="1" t="n">
        <v>100</v>
      </c>
      <c r="D72" s="18" t="s">
        <v>137</v>
      </c>
      <c r="E72" s="1" t="s">
        <v>15</v>
      </c>
      <c r="F72" s="8" t="n">
        <f aca="false">3.5/100</f>
        <v>0.035</v>
      </c>
      <c r="G72" s="4"/>
      <c r="H72" s="4" t="n">
        <f aca="false">(F72*B72)+G72</f>
        <v>3.5</v>
      </c>
      <c r="I72" s="4"/>
    </row>
    <row r="73" customFormat="false" ht="15.75" hidden="false" customHeight="false" outlineLevel="0" collapsed="false">
      <c r="A73" s="1" t="s">
        <v>138</v>
      </c>
      <c r="B73" s="1" t="n">
        <v>20</v>
      </c>
      <c r="D73" s="18" t="s">
        <v>139</v>
      </c>
      <c r="E73" s="1" t="s">
        <v>15</v>
      </c>
      <c r="F73" s="8" t="n">
        <f aca="false">(10.42+10.39)/20</f>
        <v>1.0405</v>
      </c>
      <c r="G73" s="4"/>
      <c r="H73" s="4" t="n">
        <f aca="false">(F73*B73)+G73</f>
        <v>20.81</v>
      </c>
      <c r="I73" s="4"/>
    </row>
    <row r="74" customFormat="false" ht="15.75" hidden="false" customHeight="false" outlineLevel="0" collapsed="false">
      <c r="A74" s="1" t="s">
        <v>140</v>
      </c>
      <c r="B74" s="1" t="n">
        <f aca="false">5*5</f>
        <v>25</v>
      </c>
      <c r="D74" s="18" t="s">
        <v>141</v>
      </c>
      <c r="E74" s="1" t="s">
        <v>15</v>
      </c>
      <c r="F74" s="8" t="n">
        <f aca="false">26.88/10</f>
        <v>2.688</v>
      </c>
      <c r="G74" s="4"/>
      <c r="H74" s="4" t="n">
        <f aca="false">(F74*B74)+G74</f>
        <v>67.2</v>
      </c>
      <c r="I74" s="4"/>
    </row>
    <row r="75" customFormat="false" ht="15.75" hidden="false" customHeight="false" outlineLevel="0" collapsed="false">
      <c r="A75" s="1" t="s">
        <v>142</v>
      </c>
      <c r="B75" s="1" t="n">
        <f aca="false">225*3</f>
        <v>675</v>
      </c>
      <c r="D75" s="18" t="s">
        <v>143</v>
      </c>
      <c r="E75" s="1" t="s">
        <v>15</v>
      </c>
      <c r="F75" s="8" t="n">
        <f aca="false">8.82/675</f>
        <v>0.0130666666666667</v>
      </c>
      <c r="G75" s="4"/>
      <c r="H75" s="4" t="n">
        <f aca="false">(F75*B75)+G75</f>
        <v>8.82</v>
      </c>
      <c r="I75" s="4"/>
    </row>
    <row r="76" customFormat="false" ht="15.75" hidden="false" customHeight="false" outlineLevel="0" collapsed="false">
      <c r="A76" s="1" t="s">
        <v>144</v>
      </c>
      <c r="B76" s="1" t="n">
        <v>20</v>
      </c>
      <c r="D76" s="18" t="s">
        <v>145</v>
      </c>
      <c r="E76" s="1" t="s">
        <v>15</v>
      </c>
      <c r="F76" s="8" t="n">
        <f aca="false">2.18/20</f>
        <v>0.109</v>
      </c>
      <c r="G76" s="4"/>
      <c r="H76" s="4" t="n">
        <f aca="false">(F76*B76)+G76</f>
        <v>2.18</v>
      </c>
      <c r="I76" s="4"/>
    </row>
    <row r="77" customFormat="false" ht="15.75" hidden="false" customHeight="false" outlineLevel="0" collapsed="false">
      <c r="A77" s="1" t="s">
        <v>146</v>
      </c>
      <c r="B77" s="1" t="n">
        <v>60</v>
      </c>
      <c r="D77" s="18" t="s">
        <v>147</v>
      </c>
      <c r="E77" s="1" t="s">
        <v>15</v>
      </c>
      <c r="F77" s="8" t="n">
        <f aca="false">4.04/60</f>
        <v>0.0673333333333333</v>
      </c>
      <c r="G77" s="4"/>
      <c r="H77" s="4" t="n">
        <f aca="false">(F77*B77)+G77</f>
        <v>4.04</v>
      </c>
      <c r="I77" s="4"/>
    </row>
    <row r="78" customFormat="false" ht="15.75" hidden="false" customHeight="false" outlineLevel="0" collapsed="false">
      <c r="A78" s="1" t="s">
        <v>148</v>
      </c>
      <c r="B78" s="1" t="n">
        <v>200</v>
      </c>
      <c r="E78" s="1" t="s">
        <v>15</v>
      </c>
      <c r="F78" s="8" t="n">
        <f aca="false">4.04/200</f>
        <v>0.0202</v>
      </c>
      <c r="G78" s="4"/>
      <c r="H78" s="4" t="n">
        <f aca="false">(F78*B78)+G78</f>
        <v>4.04</v>
      </c>
      <c r="I78" s="4"/>
    </row>
    <row r="79" customFormat="false" ht="15.75" hidden="false" customHeight="false" outlineLevel="0" collapsed="false">
      <c r="A79" s="1" t="s">
        <v>149</v>
      </c>
      <c r="B79" s="1" t="n">
        <v>50</v>
      </c>
      <c r="D79" s="18" t="s">
        <v>150</v>
      </c>
      <c r="E79" s="1" t="s">
        <v>15</v>
      </c>
      <c r="F79" s="8" t="n">
        <f aca="false">2.15/50</f>
        <v>0.043</v>
      </c>
      <c r="G79" s="4"/>
      <c r="H79" s="4" t="n">
        <f aca="false">(F79*B79)+G79</f>
        <v>2.15</v>
      </c>
      <c r="I79" s="4"/>
    </row>
    <row r="80" customFormat="false" ht="15.75" hidden="false" customHeight="false" outlineLevel="0" collapsed="false">
      <c r="A80" s="1" t="s">
        <v>151</v>
      </c>
      <c r="B80" s="1" t="n">
        <v>60</v>
      </c>
      <c r="D80" s="18" t="s">
        <v>152</v>
      </c>
      <c r="E80" s="1" t="s">
        <v>15</v>
      </c>
      <c r="F80" s="8" t="n">
        <f aca="false">1.51/60</f>
        <v>0.0251666666666667</v>
      </c>
      <c r="G80" s="4"/>
      <c r="H80" s="4" t="n">
        <f aca="false">(F80*B80)+G80</f>
        <v>1.51</v>
      </c>
      <c r="I80" s="4"/>
    </row>
    <row r="81" customFormat="false" ht="15.75" hidden="false" customHeight="false" outlineLevel="0" collapsed="false">
      <c r="A81" s="1" t="s">
        <v>153</v>
      </c>
      <c r="B81" s="1" t="n">
        <v>20</v>
      </c>
      <c r="D81" s="18" t="s">
        <v>154</v>
      </c>
      <c r="E81" s="1" t="s">
        <v>15</v>
      </c>
      <c r="F81" s="8" t="n">
        <f aca="false">2.36/20</f>
        <v>0.118</v>
      </c>
      <c r="G81" s="4"/>
      <c r="H81" s="4" t="n">
        <f aca="false">(F81*B81)+G81</f>
        <v>2.36</v>
      </c>
      <c r="I81" s="4"/>
    </row>
    <row r="82" customFormat="false" ht="15.75" hidden="false" customHeight="false" outlineLevel="0" collapsed="false">
      <c r="A82" s="1" t="s">
        <v>155</v>
      </c>
      <c r="B82" s="1" t="n">
        <v>16</v>
      </c>
      <c r="D82" s="18" t="s">
        <v>156</v>
      </c>
      <c r="E82" s="1" t="s">
        <v>15</v>
      </c>
      <c r="F82" s="8" t="n">
        <f aca="false">36.64/15</f>
        <v>2.44266666666667</v>
      </c>
      <c r="G82" s="4"/>
      <c r="H82" s="4" t="n">
        <f aca="false">(F82*B82)+G82</f>
        <v>39.0826666666667</v>
      </c>
      <c r="I82" s="4"/>
    </row>
    <row r="83" customFormat="false" ht="15.75" hidden="false" customHeight="false" outlineLevel="0" collapsed="false">
      <c r="A83" s="1" t="s">
        <v>157</v>
      </c>
      <c r="B83" s="1" t="n">
        <v>100</v>
      </c>
      <c r="D83" s="18" t="s">
        <v>158</v>
      </c>
      <c r="E83" s="1" t="s">
        <v>15</v>
      </c>
      <c r="F83" s="8" t="n">
        <f aca="false">2.03/100</f>
        <v>0.0203</v>
      </c>
      <c r="G83" s="4"/>
      <c r="H83" s="4" t="n">
        <f aca="false">(F83*B83)+G83</f>
        <v>2.03</v>
      </c>
      <c r="I83" s="4"/>
    </row>
    <row r="84" customFormat="false" ht="15.75" hidden="false" customHeight="false" outlineLevel="0" collapsed="false">
      <c r="A84" s="1" t="s">
        <v>159</v>
      </c>
      <c r="B84" s="1" t="n">
        <v>100</v>
      </c>
      <c r="D84" s="18" t="s">
        <v>160</v>
      </c>
      <c r="E84" s="1" t="s">
        <v>15</v>
      </c>
      <c r="F84" s="8" t="n">
        <f aca="false">1.63/100</f>
        <v>0.0163</v>
      </c>
      <c r="G84" s="4"/>
      <c r="H84" s="4" t="n">
        <f aca="false">(F84*B84)+G84</f>
        <v>1.63</v>
      </c>
      <c r="I84" s="4"/>
    </row>
    <row r="85" customFormat="false" ht="15.75" hidden="false" customHeight="false" outlineLevel="0" collapsed="false">
      <c r="A85" s="1" t="s">
        <v>161</v>
      </c>
      <c r="B85" s="1" t="n">
        <v>20</v>
      </c>
      <c r="D85" s="18" t="s">
        <v>162</v>
      </c>
      <c r="E85" s="1" t="s">
        <v>15</v>
      </c>
      <c r="F85" s="8" t="n">
        <f aca="false">19.9/20</f>
        <v>0.995</v>
      </c>
      <c r="G85" s="4"/>
      <c r="H85" s="4" t="n">
        <f aca="false">(F85*B85)+G85</f>
        <v>19.9</v>
      </c>
      <c r="I85" s="4"/>
    </row>
    <row r="86" customFormat="false" ht="15.75" hidden="false" customHeight="false" outlineLevel="0" collapsed="false">
      <c r="A86" s="1" t="s">
        <v>163</v>
      </c>
      <c r="E86" s="1" t="s">
        <v>15</v>
      </c>
      <c r="F86" s="8" t="n">
        <f aca="false">451.36/13</f>
        <v>34.72</v>
      </c>
      <c r="G86" s="4"/>
      <c r="H86" s="4" t="n">
        <f aca="false">(F86*B86)+G86</f>
        <v>0</v>
      </c>
      <c r="I86" s="4"/>
    </row>
    <row r="87" customFormat="false" ht="15.75" hidden="false" customHeight="false" outlineLevel="0" collapsed="false">
      <c r="A87" s="1" t="s">
        <v>164</v>
      </c>
      <c r="B87" s="1" t="n">
        <v>13</v>
      </c>
      <c r="D87" s="1" t="s">
        <v>165</v>
      </c>
      <c r="E87" s="1" t="s">
        <v>15</v>
      </c>
      <c r="F87" s="8" t="n">
        <f aca="false">(451.36-G87)/13</f>
        <v>33.3469230769231</v>
      </c>
      <c r="G87" s="4" t="n">
        <v>17.85</v>
      </c>
      <c r="H87" s="4" t="n">
        <f aca="false">(F87*B87)+G87</f>
        <v>451.36</v>
      </c>
      <c r="I87" s="4"/>
    </row>
    <row r="88" customFormat="false" ht="15.75" hidden="false" customHeight="false" outlineLevel="0" collapsed="false">
      <c r="E88" s="1" t="s">
        <v>15</v>
      </c>
      <c r="F88" s="8"/>
      <c r="G88" s="4"/>
      <c r="H88" s="4" t="n">
        <f aca="false">(F88*B88)+G88</f>
        <v>0</v>
      </c>
      <c r="I88" s="4"/>
    </row>
    <row r="89" customFormat="false" ht="15.75" hidden="false" customHeight="false" outlineLevel="0" collapsed="false">
      <c r="E89" s="1" t="s">
        <v>15</v>
      </c>
      <c r="F89" s="8"/>
      <c r="G89" s="4"/>
      <c r="H89" s="4" t="n">
        <f aca="false">(F89*B89)+G89</f>
        <v>0</v>
      </c>
      <c r="I89" s="4"/>
    </row>
    <row r="90" customFormat="false" ht="15.75" hidden="false" customHeight="false" outlineLevel="0" collapsed="false">
      <c r="E90" s="1" t="s">
        <v>15</v>
      </c>
      <c r="F90" s="8"/>
      <c r="G90" s="4"/>
      <c r="H90" s="4" t="n">
        <f aca="false">(F90*B90)+G90</f>
        <v>0</v>
      </c>
      <c r="I90" s="4" t="str">
        <f aca="false">IF(A90="","","|"&amp;A90&amp;"|"&amp;B90&amp;"|"&amp;C90&amp;"|"&amp;IF(D90="","","[link]("&amp;D90&amp;")")&amp;"|"&amp;IF(E90=" ","",IF(F90="","","[link]("&amp;E90&amp;")"))&amp;"|"&amp;IF(F90="","",ROUND(F90,2))&amp;"|"&amp;IF(G90="","",ROUND(G90,2))&amp;"|"&amp;IF(H90="","",ROUND(H90,2))&amp;"|")</f>
        <v/>
      </c>
    </row>
    <row r="91" customFormat="false" ht="15.75" hidden="false" customHeight="false" outlineLevel="0" collapsed="false">
      <c r="E91" s="1" t="s">
        <v>15</v>
      </c>
      <c r="F91" s="8"/>
      <c r="G91" s="4"/>
      <c r="H91" s="4" t="n">
        <f aca="false">(F91*B91)+G91</f>
        <v>0</v>
      </c>
      <c r="I91" s="4" t="str">
        <f aca="false">IF(A91="","","|"&amp;A91&amp;"|"&amp;B91&amp;"|"&amp;C91&amp;"|"&amp;IF(D91="","","[link]("&amp;D91&amp;")")&amp;"|"&amp;IF(E91=" ","",IF(F91="","","[link]("&amp;E91&amp;")"))&amp;"|"&amp;IF(F91="","",ROUND(F91,2))&amp;"|"&amp;IF(G91="","",ROUND(G91,2))&amp;"|"&amp;IF(H91="","",ROUND(H91,2))&amp;"|")</f>
        <v/>
      </c>
    </row>
    <row r="92" customFormat="false" ht="15.75" hidden="false" customHeight="false" outlineLevel="0" collapsed="false">
      <c r="A92" s="16" t="s">
        <v>166</v>
      </c>
      <c r="B92" s="16"/>
      <c r="C92" s="16"/>
      <c r="D92" s="16"/>
      <c r="E92" s="16"/>
      <c r="F92" s="16"/>
      <c r="G92" s="16"/>
      <c r="H92" s="17" t="n">
        <f aca="false">SUM(H48:H91)</f>
        <v>2560.82641185682</v>
      </c>
      <c r="I92" s="4" t="str">
        <f aca="false">IF(A92="","","|"&amp;A92&amp;"|"&amp;B92&amp;"|"&amp;C92&amp;"|"&amp;IF(D92="","","[link]("&amp;D92&amp;")")&amp;"|"&amp;IF(E92="","","[link]("&amp;E92&amp;")")&amp;"|"&amp;IF(F92="","",ROUND(F92,2))&amp;"|"&amp;IF(G92="","",ROUND(G92,2))&amp;"|"&amp;IF(H92="","",ROUND(H92,2))&amp;"|")</f>
        <v>|TOTAAL|||||||2560.83|</v>
      </c>
    </row>
    <row r="97" customFormat="false" ht="15.75" hidden="false" customHeight="true" outlineLevel="0" collapsed="false">
      <c r="G97" s="4"/>
    </row>
  </sheetData>
  <mergeCells count="2">
    <mergeCell ref="A48:G48"/>
    <mergeCell ref="A92:G92"/>
  </mergeCells>
  <hyperlinks>
    <hyperlink ref="E3" r:id="rId1" display="https://youtu.be/AMiXme4bMUk"/>
    <hyperlink ref="D4" r:id="rId2" display="https://www.123-3d.nl/123-3D-GT2-Pulley-hoge-resolutie-met-lager-6-mm-riem-20-tanden-5-mm-as-zwart-i2546-t0.html"/>
    <hyperlink ref="D5" r:id="rId3" display="https://www.123-3d.nl/123-3D-GT2-Pulley-hoge-resolutie-6-mm-riem-20-tanden-5-mm-as-zwart-400211009-i2547-t0.html"/>
    <hyperlink ref="D6" r:id="rId4" display="https://www.123-3d.nl/123-3D-GT2-timing-belt-6-mm-5-meter-i6541-t3046.html"/>
    <hyperlink ref="D7" r:id="rId5" display="https://www.123-3d.nl/123-3D-Leadscrew-moer-TR8x8-i1560-t0.html"/>
    <hyperlink ref="D8" r:id="rId6" display="https://www.123-3d.nl/123-3D-Leadscrew-TR8x8-8-mm-30-cm-i1558-t0.html"/>
    <hyperlink ref="D9" r:id="rId7" display="https://www.123-3d.nl/123-3D-Staaf-as-glad-8-mm-x-100-cm-voor-X-of-Y-as-i56-t0.html"/>
    <hyperlink ref="D10" r:id="rId8" display="https://www.123-3d.nl/123-3D-Flexibele-motor-koppeling-5-mm-8-mm-i342-t0.html"/>
    <hyperlink ref="E11" r:id="rId9" display="https://www.thingiverse.com/thing:2393904"/>
    <hyperlink ref="D12" r:id="rId10" display="https://www.bol.com/nl/nl/p/white-rhinoceros-drank-dispenser-bar-butler-shots-muurdispenser-voor-6-flessen/9300000007705748/?Referrer=ENTcli_order_confirmation2008093611"/>
    <hyperlink ref="D13" r:id="rId11" display="https://www.ratrig.com/aluminium-profiles/vslot/v-slot-2020-637.html"/>
    <hyperlink ref="D14" r:id="rId12" display="https://nl.aliexpress.com/item/1005003618509458.html"/>
    <hyperlink ref="D16" r:id="rId13" display="https://elektronicavoorjou.nl/product/16x2-lcd-wit-op-blauw-5v-met-i2c/"/>
    <hyperlink ref="D17" r:id="rId14" display="https://www.indi.nl/nl-nl/p/Cilindrische-inbusbout-M3x10-12.9-zwart-DIN912-912310129B"/>
    <hyperlink ref="D18" r:id="rId15" display="https://www.indi.nl/nl-nl/p/Cilindrische-inbusbout-M3x30-12.9-zwart-DIN912-912330129B"/>
    <hyperlink ref="D19" r:id="rId16" display="https://www.indi.nl/nl-nl/p/Cilindrische-inbusbout-M5x10-12.9-zwart-DIN912-912510129B"/>
    <hyperlink ref="D20" r:id="rId17" display="https://www.indi.nl/nl-nl/p/Cilindrische-inbusbout-M5x20-12.9-zwart-DIN912-912520129B"/>
    <hyperlink ref="D21" r:id="rId18" display="https://www.indi.nl/nl-nl/p/Cilindrische-inbusbout-M5x30-12.9-zwart-DIN912-912530129B"/>
    <hyperlink ref="D22" r:id="rId19" display="https://www.indi.nl/nl-nl/p/Cilindrische-inbusbout-M5x40-12.9-zwart-DIN912-912540129B"/>
    <hyperlink ref="D23" r:id="rId20" display="https://www.indi.nl/nl-nl/p/Cilindrische-inbusbout-M5X50-12.9-zwart-DIN912-912550129B"/>
    <hyperlink ref="D24" r:id="rId21" display="https://www.indi.nl/nl-nl/p/Cilindrische-inbusbout-M5x60-12.9-zwart-DIN912-912560129B"/>
    <hyperlink ref="D25" r:id="rId22" display="https://www.indi.nl/nl-nl/p/Cilindrische-inbusbout-M5x80-12.9-zwart-DIN912-912580129B"/>
    <hyperlink ref="D26" r:id="rId23" display="https://www.indi.nl/nl-nl/p/Zeskantmoer-M5-klasse-8-verzinkt-DIN934-9345P100"/>
    <hyperlink ref="D27" r:id="rId24" display="https://www.gamma.nl/assortiment/gamma-borgmoer-m5-rvs-8-stuks/p/B458288"/>
    <hyperlink ref="D30" r:id="rId25" display="https://nl.aliexpress.com/item/1005004014058136.html"/>
    <hyperlink ref="E30" r:id="rId26" display="https://wiki.fysetc.com/TMC2208/"/>
    <hyperlink ref="D31" r:id="rId27" display="https://www.hobbyelectronica.nl/product/endstop-mechanisch-microswitch/"/>
    <hyperlink ref="D32" r:id="rId28" display="https://www.kiwi-electronics.com/nl/siliconen-slang-5x7mm-2-meter-10188"/>
    <hyperlink ref="D33" r:id="rId29" display="https://www.slangenshop.nl/home/22-siliconen-slang-2-x-4-mm-.html"/>
    <hyperlink ref="D34" r:id="rId30" display="https://www.slangenshop.nl/home/25-siliconen-slang-3-x-5-mm-.html"/>
    <hyperlink ref="D35" r:id="rId31" display="https://www.slangenshop.nl/home/24-siliconen-slang-4-x-6-mm-.html?search_query=Siliconen+slang+4&amp;results=24"/>
    <hyperlink ref="D36" r:id="rId32" display="https://www.aliexpress.com/item/1005004016711403.html?spm=a2g0o.cart.0.0.603638daNtRRN5&amp;mp=1"/>
    <hyperlink ref="D37" r:id="rId33" display="https://www.aliexpress.com/item/1005004016711403.html?spm=a2g0o.cart.0.0.603638daNtRRN5&amp;mp=1"/>
    <hyperlink ref="D38" r:id="rId34" display="https://www.aliexpress.com/item/32878178151.html?spm=a2g0o.cart.0.0.603638daNtRRN5&amp;mp=1"/>
    <hyperlink ref="D39" r:id="rId35" display="https://www.aliexpress.com/item/32878178151.html?spm=a2g0o.cart.0.0.603638daNtRRN5&amp;mp=1"/>
    <hyperlink ref="D40" r:id="rId36" display="https://www.aliexpress.com/item/1005005553905520.html?spm=a2g0o.cart.0.0.603638daNtRRN5&amp;mp=1"/>
    <hyperlink ref="D49" r:id="rId37" display="https://www.hobbyelectronica.nl/product/nema-17-stappen-motor-42byghw609/?gclid=CjwKCAjwzeqVBhAoEiwAOrEmzQjIdiWzwSG4m0PU8pULIl3Q7mAKpvSpVphw8W75q5Q6bFC5tXKSYxoC3OMQAvD_BwE"/>
    <hyperlink ref="D55" r:id="rId38" display="http://www.te.com/commerce/DocumentDelivery/DDEController?Action=srchrtrv&amp;DocNm=640454&amp;DocType=Customer+Drawing&amp;DocLang=English&amp;PartCntxt=640454-5"/>
    <hyperlink ref="D56" r:id="rId39" display="http://www.te.com/commerce/DocumentDelivery/DDEController?Action=srchrtrv&amp;DocNm=640454&amp;DocType=Customer+Drawing&amp;DocLang=English&amp;PartCntxt=640454-5"/>
    <hyperlink ref="D64" r:id="rId40" display="https://nl.farnell.com/recom-power/r-78b5-0-1-0l/dc-dc-converter-5v-1a/dp/1793162"/>
    <hyperlink ref="D70" r:id="rId41" display="https://nl.aliexpress.com/item/1005006311167114.html?spm=a2g0o.order_list.order_list_main.5.3f8379d22lLZlI&amp;gatewayAdapt=glo2nld"/>
    <hyperlink ref="D71" r:id="rId42" display="https://nl.aliexpress.com/item/1005006321995370.html?spm=a2g0o.order_list.order_list_main.17.3f8379d22lLZlI&amp;gatewayAdapt=glo2nld"/>
    <hyperlink ref="D72" r:id="rId43" display="www.aliexpress.com/item/1005006852412154.html?spm=a2g0o.order_list.order_list_main.33.3f8379d22lLZlI"/>
    <hyperlink ref="D73" r:id="rId44" display="https://nl.aliexpress.com/item/1005007446928015.html?spm=a2g0o.order_list.order_list_main.70.3f8379d22lLZlI&amp;gatewayAdapt=glo2nld"/>
    <hyperlink ref="D74" r:id="rId45" display="https://nl.aliexpress.com/item/1005006531774076.html?spm=a2g0o.order_list.order_list_main.81.3f8379d22lLZlI&amp;gatewayAdapt=glo2nld"/>
    <hyperlink ref="D75" r:id="rId46" display="https://nl.aliexpress.com/item/1005008478445571.html?spm=a2g0o.order_list.order_list_main.101.3f8379d22lLZlI&amp;gatewayAdapt=glo2nld"/>
    <hyperlink ref="D76" r:id="rId47" display="https://nl.aliexpress.com/item/32810872544.html?spm=a2g0o.order_list.order_list_main.140.3f8379d22lLZlI&amp;gatewayAdapt=glo2nld"/>
    <hyperlink ref="D77" r:id="rId48" display="https://nl.aliexpress.com/item/32810872544.html?spm=a2g0o.order_list.order_list_main.145.3f8379d22lLZlI&amp;gatewayAdapt=glo2nld"/>
    <hyperlink ref="D79" r:id="rId49" display="www.aliexpress.com/item/1005002047657907.html?spm=a2g0o.order_list.order_list_main.150.3f8379d22lLZlI"/>
    <hyperlink ref="D80" r:id="rId50" display="https://www.aliexpress.com/item/1005006995121970.html?spm=a2g0o.order_list.order_list_main.205.3f8379d22lLZlI"/>
    <hyperlink ref="D81" r:id="rId51" display="https://nl.aliexpress.com/item/1005006149080284.html?spm=a2g0o.order_list.order_list_main.211.3f8379d22lLZlI&amp;gatewayAdapt=glo2nld"/>
    <hyperlink ref="D82" r:id="rId52" display="https://www.aliexpress.com/item/1005006358997795.html?spm=a2g0o.order_list.order_list_main.225.3f8379d22lLZlI"/>
    <hyperlink ref="D83" r:id="rId53" display="https://www.aliexpress.com/item/1005005013827080.html?spm=a2g0o.order_list.order_list_main.271.3f8379d22lLZlI"/>
    <hyperlink ref="D84" r:id="rId54" display="https://nl.aliexpress.com/item/1005002748966091.html?spm=a2g0o.order_list.order_list_main.280.3f8379d22lLZlI&amp;gatewayAdapt=glo2nld"/>
    <hyperlink ref="D85" r:id="rId55" display="https://www.bol.com/nl/nl/p/kurk-zwart-pe-in-perfect-afsluitende-vorm-tbv-non-drips-of-maatschenkers-ten-behoeve-van-0-7-1-5-l-flessen/9200000107083693/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F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12.6328125" defaultRowHeight="15.75" customHeight="true" zeroHeight="false" outlineLevelRow="0" outlineLevelCol="0"/>
  <cols>
    <col collapsed="false" customWidth="false" hidden="false" outlineLevel="0" max="3" min="1" style="19" width="12.63"/>
    <col collapsed="false" customWidth="true" hidden="false" outlineLevel="0" max="4" min="4" style="20" width="28.38"/>
    <col collapsed="false" customWidth="false" hidden="false" outlineLevel="0" max="16384" min="5" style="19" width="12.63"/>
  </cols>
  <sheetData>
    <row r="1" customFormat="false" ht="15.75" hidden="false" customHeight="false" outlineLevel="0" collapsed="false">
      <c r="A1" s="1" t="s">
        <v>167</v>
      </c>
      <c r="B1" s="1" t="s">
        <v>168</v>
      </c>
      <c r="C1" s="1" t="s">
        <v>169</v>
      </c>
      <c r="D1" s="1" t="s">
        <v>170</v>
      </c>
    </row>
    <row r="2" customFormat="false" ht="15.75" hidden="false" customHeight="false" outlineLevel="0" collapsed="false">
      <c r="A2" s="1" t="n">
        <v>0</v>
      </c>
      <c r="B2" s="1" t="s">
        <v>171</v>
      </c>
      <c r="C2" s="1" t="s">
        <v>172</v>
      </c>
      <c r="D2" s="1" t="s">
        <v>173</v>
      </c>
      <c r="E2" s="1" t="s">
        <v>174</v>
      </c>
      <c r="F2" s="1" t="s">
        <v>175</v>
      </c>
    </row>
    <row r="3" customFormat="false" ht="15.75" hidden="false" customHeight="false" outlineLevel="0" collapsed="false">
      <c r="A3" s="11" t="n">
        <v>1</v>
      </c>
      <c r="B3" s="11" t="s">
        <v>176</v>
      </c>
      <c r="C3" s="11" t="s">
        <v>172</v>
      </c>
      <c r="D3" s="11" t="s">
        <v>177</v>
      </c>
      <c r="E3" s="11" t="s">
        <v>178</v>
      </c>
    </row>
    <row r="4" customFormat="false" ht="15.75" hidden="false" customHeight="false" outlineLevel="0" collapsed="false">
      <c r="A4" s="11" t="n">
        <v>2</v>
      </c>
      <c r="B4" s="1" t="s">
        <v>172</v>
      </c>
      <c r="C4" s="1" t="s">
        <v>172</v>
      </c>
      <c r="D4" s="1" t="s">
        <v>179</v>
      </c>
      <c r="E4" s="11" t="s">
        <v>180</v>
      </c>
    </row>
    <row r="5" customFormat="false" ht="15.75" hidden="false" customHeight="false" outlineLevel="0" collapsed="false">
      <c r="A5" s="11" t="n">
        <v>3</v>
      </c>
      <c r="B5" s="11" t="s">
        <v>172</v>
      </c>
      <c r="C5" s="11" t="s">
        <v>181</v>
      </c>
      <c r="D5" s="11" t="s">
        <v>182</v>
      </c>
      <c r="E5" s="11" t="s">
        <v>183</v>
      </c>
    </row>
    <row r="6" customFormat="false" ht="15.75" hidden="false" customHeight="false" outlineLevel="0" collapsed="false">
      <c r="A6" s="11" t="n">
        <v>4</v>
      </c>
      <c r="B6" s="1" t="s">
        <v>172</v>
      </c>
      <c r="C6" s="1" t="s">
        <v>172</v>
      </c>
      <c r="E6" s="11" t="s">
        <v>184</v>
      </c>
    </row>
    <row r="7" customFormat="false" ht="15.75" hidden="false" customHeight="false" outlineLevel="0" collapsed="false">
      <c r="A7" s="11" t="n">
        <v>5</v>
      </c>
      <c r="B7" s="1" t="s">
        <v>172</v>
      </c>
      <c r="C7" s="1" t="s">
        <v>172</v>
      </c>
      <c r="D7" s="21" t="s">
        <v>173</v>
      </c>
      <c r="E7" s="21" t="s">
        <v>185</v>
      </c>
      <c r="F7" s="21" t="s">
        <v>186</v>
      </c>
    </row>
    <row r="8" customFormat="false" ht="15.75" hidden="false" customHeight="false" outlineLevel="0" collapsed="false">
      <c r="A8" s="11" t="n">
        <v>12</v>
      </c>
      <c r="B8" s="1" t="s">
        <v>172</v>
      </c>
      <c r="C8" s="1" t="s">
        <v>172</v>
      </c>
      <c r="D8" s="21" t="s">
        <v>187</v>
      </c>
      <c r="E8" s="21" t="s">
        <v>186</v>
      </c>
      <c r="F8" s="21" t="s">
        <v>185</v>
      </c>
    </row>
    <row r="9" customFormat="false" ht="15.75" hidden="false" customHeight="false" outlineLevel="0" collapsed="false">
      <c r="A9" s="11" t="n">
        <v>13</v>
      </c>
      <c r="B9" s="1" t="s">
        <v>172</v>
      </c>
      <c r="C9" s="1" t="s">
        <v>172</v>
      </c>
      <c r="E9" s="1" t="s">
        <v>188</v>
      </c>
    </row>
    <row r="10" customFormat="false" ht="15.75" hidden="false" customHeight="false" outlineLevel="0" collapsed="false">
      <c r="A10" s="11" t="n">
        <v>14</v>
      </c>
      <c r="B10" s="1" t="s">
        <v>172</v>
      </c>
      <c r="C10" s="1" t="s">
        <v>172</v>
      </c>
      <c r="D10" s="1" t="s">
        <v>173</v>
      </c>
      <c r="E10" s="1" t="s">
        <v>189</v>
      </c>
    </row>
    <row r="11" customFormat="false" ht="15.75" hidden="false" customHeight="false" outlineLevel="0" collapsed="false">
      <c r="A11" s="11" t="n">
        <v>15</v>
      </c>
      <c r="B11" s="1" t="s">
        <v>172</v>
      </c>
      <c r="C11" s="1" t="s">
        <v>172</v>
      </c>
      <c r="D11" s="21" t="s">
        <v>173</v>
      </c>
      <c r="E11" s="21" t="s">
        <v>190</v>
      </c>
      <c r="F11" s="21" t="s">
        <v>191</v>
      </c>
    </row>
    <row r="12" customFormat="false" ht="15.75" hidden="false" customHeight="false" outlineLevel="0" collapsed="false">
      <c r="A12" s="11" t="n">
        <v>16</v>
      </c>
      <c r="B12" s="1" t="s">
        <v>172</v>
      </c>
      <c r="C12" s="1" t="s">
        <v>172</v>
      </c>
      <c r="E12" s="11" t="s">
        <v>192</v>
      </c>
    </row>
    <row r="13" customFormat="false" ht="15.75" hidden="false" customHeight="false" outlineLevel="0" collapsed="false">
      <c r="A13" s="11" t="n">
        <v>17</v>
      </c>
      <c r="B13" s="1" t="s">
        <v>172</v>
      </c>
      <c r="C13" s="1" t="s">
        <v>172</v>
      </c>
      <c r="E13" s="11" t="s">
        <v>193</v>
      </c>
    </row>
    <row r="14" customFormat="false" ht="15.75" hidden="false" customHeight="false" outlineLevel="0" collapsed="false">
      <c r="A14" s="11" t="n">
        <v>18</v>
      </c>
      <c r="B14" s="1" t="s">
        <v>172</v>
      </c>
      <c r="C14" s="1" t="s">
        <v>172</v>
      </c>
      <c r="E14" s="11" t="s">
        <v>194</v>
      </c>
    </row>
    <row r="15" customFormat="false" ht="15.75" hidden="false" customHeight="false" outlineLevel="0" collapsed="false">
      <c r="A15" s="11" t="n">
        <v>19</v>
      </c>
      <c r="B15" s="1" t="s">
        <v>172</v>
      </c>
      <c r="C15" s="1" t="s">
        <v>172</v>
      </c>
      <c r="E15" s="11" t="s">
        <v>195</v>
      </c>
    </row>
    <row r="16" customFormat="false" ht="15.75" hidden="false" customHeight="false" outlineLevel="0" collapsed="false">
      <c r="A16" s="11" t="n">
        <v>21</v>
      </c>
      <c r="B16" s="11" t="s">
        <v>172</v>
      </c>
      <c r="C16" s="11" t="s">
        <v>172</v>
      </c>
      <c r="D16" s="11"/>
      <c r="E16" s="11" t="s">
        <v>196</v>
      </c>
    </row>
    <row r="17" customFormat="false" ht="15.75" hidden="false" customHeight="false" outlineLevel="0" collapsed="false">
      <c r="A17" s="11" t="n">
        <v>22</v>
      </c>
      <c r="B17" s="11" t="s">
        <v>172</v>
      </c>
      <c r="C17" s="11" t="s">
        <v>172</v>
      </c>
      <c r="D17" s="11"/>
      <c r="E17" s="11" t="s">
        <v>197</v>
      </c>
    </row>
    <row r="18" customFormat="false" ht="15.75" hidden="false" customHeight="false" outlineLevel="0" collapsed="false">
      <c r="A18" s="11" t="n">
        <v>23</v>
      </c>
      <c r="B18" s="1" t="s">
        <v>172</v>
      </c>
      <c r="C18" s="1" t="s">
        <v>172</v>
      </c>
      <c r="E18" s="21" t="s">
        <v>191</v>
      </c>
    </row>
    <row r="19" customFormat="false" ht="15.75" hidden="false" customHeight="false" outlineLevel="0" collapsed="false">
      <c r="A19" s="11" t="n">
        <v>25</v>
      </c>
      <c r="B19" s="1" t="s">
        <v>172</v>
      </c>
      <c r="C19" s="1" t="s">
        <v>172</v>
      </c>
      <c r="E19" s="1" t="s">
        <v>198</v>
      </c>
    </row>
    <row r="20" customFormat="false" ht="15.75" hidden="false" customHeight="false" outlineLevel="0" collapsed="false">
      <c r="A20" s="11" t="n">
        <v>26</v>
      </c>
      <c r="B20" s="1" t="s">
        <v>172</v>
      </c>
      <c r="C20" s="1" t="s">
        <v>172</v>
      </c>
      <c r="E20" s="1" t="s">
        <v>199</v>
      </c>
    </row>
    <row r="21" customFormat="false" ht="15.75" hidden="false" customHeight="false" outlineLevel="0" collapsed="false">
      <c r="A21" s="11" t="n">
        <v>27</v>
      </c>
      <c r="B21" s="1" t="s">
        <v>172</v>
      </c>
      <c r="C21" s="1" t="s">
        <v>172</v>
      </c>
      <c r="E21" s="21" t="s">
        <v>200</v>
      </c>
      <c r="F21" s="21" t="s">
        <v>201</v>
      </c>
    </row>
    <row r="22" customFormat="false" ht="15.75" hidden="false" customHeight="false" outlineLevel="0" collapsed="false">
      <c r="A22" s="11" t="n">
        <v>32</v>
      </c>
      <c r="B22" s="1" t="s">
        <v>172</v>
      </c>
      <c r="C22" s="1" t="s">
        <v>172</v>
      </c>
      <c r="E22" s="1" t="s">
        <v>202</v>
      </c>
    </row>
    <row r="23" customFormat="false" ht="15.75" hidden="false" customHeight="false" outlineLevel="0" collapsed="false">
      <c r="A23" s="11" t="n">
        <v>33</v>
      </c>
      <c r="B23" s="1" t="s">
        <v>172</v>
      </c>
      <c r="C23" s="1" t="s">
        <v>172</v>
      </c>
      <c r="E23" s="1" t="s">
        <v>203</v>
      </c>
    </row>
    <row r="24" customFormat="false" ht="15.75" hidden="false" customHeight="false" outlineLevel="0" collapsed="false">
      <c r="A24" s="11" t="n">
        <v>34</v>
      </c>
      <c r="B24" s="1" t="s">
        <v>172</v>
      </c>
      <c r="D24" s="21" t="s">
        <v>204</v>
      </c>
      <c r="E24" s="21" t="s">
        <v>201</v>
      </c>
      <c r="F24" s="1" t="s">
        <v>200</v>
      </c>
    </row>
    <row r="25" customFormat="false" ht="15.75" hidden="false" customHeight="false" outlineLevel="0" collapsed="false">
      <c r="A25" s="11" t="n">
        <v>35</v>
      </c>
      <c r="B25" s="1" t="s">
        <v>172</v>
      </c>
      <c r="D25" s="21" t="s">
        <v>204</v>
      </c>
      <c r="E25" s="21"/>
      <c r="F25" s="21" t="s">
        <v>190</v>
      </c>
    </row>
    <row r="26" customFormat="false" ht="15.75" hidden="false" customHeight="false" outlineLevel="0" collapsed="false">
      <c r="A26" s="11" t="n">
        <v>36</v>
      </c>
      <c r="B26" s="1" t="s">
        <v>172</v>
      </c>
      <c r="D26" s="1" t="s">
        <v>204</v>
      </c>
    </row>
    <row r="27" customFormat="false" ht="15.75" hidden="false" customHeight="false" outlineLevel="0" collapsed="false">
      <c r="A27" s="11" t="n">
        <v>39</v>
      </c>
      <c r="B27" s="1" t="s">
        <v>172</v>
      </c>
      <c r="D27" s="1" t="s">
        <v>204</v>
      </c>
      <c r="E27" s="1" t="s">
        <v>205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U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F10" activeCellId="0" sqref="F10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20" width="17.88"/>
    <col collapsed="false" customWidth="true" hidden="true" outlineLevel="0" max="2" min="2" style="20" width="7.11"/>
    <col collapsed="false" customWidth="true" hidden="false" outlineLevel="0" max="3" min="3" style="20" width="12"/>
    <col collapsed="false" customWidth="true" hidden="false" outlineLevel="0" max="4" min="4" style="20" width="3.75"/>
    <col collapsed="false" customWidth="true" hidden="false" outlineLevel="0" max="5" min="5" style="20" width="12"/>
    <col collapsed="false" customWidth="true" hidden="false" outlineLevel="0" max="6" min="6" style="20" width="3.75"/>
    <col collapsed="false" customWidth="true" hidden="false" outlineLevel="0" max="7" min="7" style="20" width="12"/>
    <col collapsed="false" customWidth="true" hidden="false" outlineLevel="0" max="8" min="8" style="20" width="3.75"/>
    <col collapsed="false" customWidth="true" hidden="false" outlineLevel="0" max="9" min="9" style="20" width="12"/>
    <col collapsed="false" customWidth="true" hidden="false" outlineLevel="0" max="10" min="10" style="20" width="3.75"/>
    <col collapsed="false" customWidth="true" hidden="false" outlineLevel="0" max="11" min="11" style="20" width="12"/>
    <col collapsed="false" customWidth="true" hidden="false" outlineLevel="0" max="12" min="12" style="20" width="3.75"/>
    <col collapsed="false" customWidth="true" hidden="false" outlineLevel="0" max="13" min="13" style="20" width="12"/>
    <col collapsed="false" customWidth="true" hidden="false" outlineLevel="0" max="14" min="14" style="20" width="3.13"/>
    <col collapsed="false" customWidth="true" hidden="false" outlineLevel="0" max="15" min="15" style="20" width="12"/>
    <col collapsed="false" customWidth="true" hidden="false" outlineLevel="0" max="16" min="16" style="20" width="3.13"/>
    <col collapsed="false" customWidth="true" hidden="false" outlineLevel="0" max="17" min="17" style="20" width="12"/>
    <col collapsed="false" customWidth="true" hidden="false" outlineLevel="0" max="18" min="18" style="20" width="3.13"/>
    <col collapsed="false" customWidth="true" hidden="false" outlineLevel="0" max="19" min="19" style="20" width="2.63"/>
    <col collapsed="false" customWidth="true" hidden="false" outlineLevel="0" max="20" min="20" style="20" width="5"/>
    <col collapsed="false" customWidth="true" hidden="false" outlineLevel="0" max="21" min="21" style="20" width="6.88"/>
    <col collapsed="false" customWidth="false" hidden="false" outlineLevel="0" max="16384" min="22" style="19" width="12.63"/>
  </cols>
  <sheetData>
    <row r="1" customFormat="false" ht="24.05" hidden="false" customHeight="false" outlineLevel="0" collapsed="false">
      <c r="A1" s="22" t="s">
        <v>206</v>
      </c>
      <c r="B1" s="23" t="s">
        <v>207</v>
      </c>
      <c r="C1" s="22" t="s">
        <v>208</v>
      </c>
      <c r="D1" s="22" t="s">
        <v>209</v>
      </c>
      <c r="E1" s="22" t="s">
        <v>210</v>
      </c>
      <c r="F1" s="22" t="s">
        <v>209</v>
      </c>
      <c r="G1" s="22" t="s">
        <v>211</v>
      </c>
      <c r="H1" s="22" t="s">
        <v>209</v>
      </c>
      <c r="I1" s="22" t="s">
        <v>212</v>
      </c>
      <c r="J1" s="22" t="s">
        <v>209</v>
      </c>
      <c r="K1" s="22" t="s">
        <v>213</v>
      </c>
      <c r="L1" s="22" t="s">
        <v>209</v>
      </c>
      <c r="M1" s="22" t="s">
        <v>214</v>
      </c>
      <c r="N1" s="22" t="s">
        <v>209</v>
      </c>
      <c r="O1" s="22" t="s">
        <v>215</v>
      </c>
      <c r="P1" s="22" t="s">
        <v>209</v>
      </c>
      <c r="Q1" s="22" t="s">
        <v>216</v>
      </c>
      <c r="R1" s="22" t="s">
        <v>209</v>
      </c>
      <c r="S1" s="24"/>
      <c r="T1" s="22" t="s">
        <v>217</v>
      </c>
      <c r="U1" s="22" t="s">
        <v>218</v>
      </c>
    </row>
    <row r="2" customFormat="false" ht="15" hidden="false" customHeight="true" outlineLevel="0" collapsed="false">
      <c r="A2" s="20" t="s">
        <v>219</v>
      </c>
      <c r="B2" s="25" t="s">
        <v>220</v>
      </c>
      <c r="C2" s="20" t="s">
        <v>221</v>
      </c>
      <c r="D2" s="26" t="n">
        <v>0</v>
      </c>
      <c r="E2" s="20" t="s">
        <v>222</v>
      </c>
      <c r="F2" s="26" t="n">
        <v>45</v>
      </c>
      <c r="G2" s="20" t="s">
        <v>223</v>
      </c>
      <c r="H2" s="26" t="n">
        <v>45</v>
      </c>
      <c r="I2" s="20" t="s">
        <v>224</v>
      </c>
      <c r="J2" s="26" t="n">
        <v>135</v>
      </c>
      <c r="K2" s="20" t="s">
        <v>225</v>
      </c>
      <c r="L2" s="26" t="n">
        <v>0</v>
      </c>
      <c r="M2" s="20" t="s">
        <v>226</v>
      </c>
      <c r="N2" s="26" t="n">
        <v>30</v>
      </c>
      <c r="S2" s="27"/>
      <c r="T2" s="20" t="n">
        <f aca="false">D2+F2+H2+J2+L2+N2+P2+R2</f>
        <v>255</v>
      </c>
      <c r="U2" s="20" t="s">
        <v>227</v>
      </c>
    </row>
    <row r="3" customFormat="false" ht="15" hidden="false" customHeight="true" outlineLevel="0" collapsed="false">
      <c r="A3" s="20" t="s">
        <v>228</v>
      </c>
      <c r="B3" s="25" t="s">
        <v>229</v>
      </c>
      <c r="C3" s="20" t="s">
        <v>222</v>
      </c>
      <c r="D3" s="26" t="n">
        <v>45</v>
      </c>
      <c r="E3" s="20" t="s">
        <v>230</v>
      </c>
      <c r="F3" s="26" t="n">
        <v>120</v>
      </c>
      <c r="G3" s="20" t="s">
        <v>231</v>
      </c>
      <c r="H3" s="26" t="n">
        <v>0</v>
      </c>
      <c r="S3" s="27"/>
      <c r="T3" s="20" t="n">
        <f aca="false">D3+F3+H3+J3+L3+N3+P3+R3</f>
        <v>165</v>
      </c>
      <c r="U3" s="20" t="s">
        <v>232</v>
      </c>
    </row>
    <row r="4" customFormat="false" ht="15" hidden="false" customHeight="true" outlineLevel="0" collapsed="false">
      <c r="A4" s="20" t="s">
        <v>233</v>
      </c>
      <c r="B4" s="25" t="s">
        <v>234</v>
      </c>
      <c r="C4" s="20" t="s">
        <v>222</v>
      </c>
      <c r="D4" s="26" t="n">
        <v>23</v>
      </c>
      <c r="E4" s="20" t="s">
        <v>235</v>
      </c>
      <c r="F4" s="26" t="n">
        <v>15</v>
      </c>
      <c r="G4" s="20" t="s">
        <v>226</v>
      </c>
      <c r="H4" s="26" t="n">
        <v>30</v>
      </c>
      <c r="I4" s="20" t="s">
        <v>236</v>
      </c>
      <c r="J4" s="26" t="n">
        <v>15</v>
      </c>
      <c r="K4" s="20" t="s">
        <v>225</v>
      </c>
      <c r="L4" s="26" t="n">
        <v>0</v>
      </c>
      <c r="S4" s="27"/>
      <c r="T4" s="20" t="n">
        <f aca="false">D4+F4+H4+J4+L4+N4+P4+R4</f>
        <v>83</v>
      </c>
      <c r="U4" s="20" t="s">
        <v>237</v>
      </c>
    </row>
    <row r="5" customFormat="false" ht="15" hidden="false" customHeight="true" outlineLevel="0" collapsed="false">
      <c r="A5" s="20" t="s">
        <v>238</v>
      </c>
      <c r="B5" s="25" t="s">
        <v>239</v>
      </c>
      <c r="C5" s="20" t="s">
        <v>222</v>
      </c>
      <c r="D5" s="26" t="n">
        <v>45</v>
      </c>
      <c r="E5" s="20" t="s">
        <v>240</v>
      </c>
      <c r="F5" s="26" t="n">
        <v>30</v>
      </c>
      <c r="G5" s="20" t="s">
        <v>226</v>
      </c>
      <c r="H5" s="26" t="n">
        <v>30</v>
      </c>
      <c r="I5" s="20" t="s">
        <v>231</v>
      </c>
      <c r="J5" s="26" t="n">
        <v>0</v>
      </c>
      <c r="S5" s="27"/>
      <c r="T5" s="20" t="n">
        <f aca="false">D5+F5+H5+J5+L5+N5+P5+R5</f>
        <v>105</v>
      </c>
      <c r="U5" s="20" t="s">
        <v>237</v>
      </c>
    </row>
    <row r="6" customFormat="false" ht="15" hidden="false" customHeight="true" outlineLevel="0" collapsed="false">
      <c r="A6" s="20" t="s">
        <v>241</v>
      </c>
      <c r="B6" s="25" t="s">
        <v>242</v>
      </c>
      <c r="C6" s="20" t="s">
        <v>221</v>
      </c>
      <c r="D6" s="26" t="n">
        <v>0</v>
      </c>
      <c r="E6" s="20" t="s">
        <v>222</v>
      </c>
      <c r="F6" s="26" t="n">
        <v>45</v>
      </c>
      <c r="G6" s="20" t="s">
        <v>226</v>
      </c>
      <c r="H6" s="26" t="n">
        <v>90</v>
      </c>
      <c r="I6" s="20" t="s">
        <v>231</v>
      </c>
      <c r="J6" s="26" t="n">
        <v>0</v>
      </c>
      <c r="K6" s="20" t="s">
        <v>224</v>
      </c>
      <c r="L6" s="26" t="n">
        <v>30</v>
      </c>
      <c r="S6" s="27"/>
      <c r="T6" s="20" t="n">
        <f aca="false">D6+F6+H6+J6+L6+N6+P6+R6</f>
        <v>165</v>
      </c>
      <c r="U6" s="20" t="s">
        <v>232</v>
      </c>
    </row>
    <row r="7" customFormat="false" ht="15" hidden="false" customHeight="true" outlineLevel="0" collapsed="false">
      <c r="A7" s="20" t="s">
        <v>243</v>
      </c>
      <c r="B7" s="25" t="s">
        <v>244</v>
      </c>
      <c r="C7" s="20" t="s">
        <v>245</v>
      </c>
      <c r="D7" s="26" t="n">
        <v>0</v>
      </c>
      <c r="E7" s="20" t="s">
        <v>246</v>
      </c>
      <c r="F7" s="26" t="n">
        <v>90</v>
      </c>
      <c r="G7" s="20" t="s">
        <v>236</v>
      </c>
      <c r="H7" s="26" t="n">
        <v>30</v>
      </c>
      <c r="I7" s="20" t="s">
        <v>225</v>
      </c>
      <c r="J7" s="26" t="n">
        <v>0</v>
      </c>
      <c r="S7" s="27"/>
      <c r="T7" s="20" t="n">
        <f aca="false">D7+F7+H7+J7+L7+N7+P7+R7</f>
        <v>120</v>
      </c>
      <c r="U7" s="20" t="s">
        <v>232</v>
      </c>
    </row>
    <row r="8" customFormat="false" ht="15" hidden="false" customHeight="true" outlineLevel="0" collapsed="false">
      <c r="A8" s="20" t="s">
        <v>247</v>
      </c>
      <c r="B8" s="25" t="s">
        <v>248</v>
      </c>
      <c r="C8" s="20" t="s">
        <v>222</v>
      </c>
      <c r="D8" s="26" t="n">
        <v>30</v>
      </c>
      <c r="E8" s="20" t="s">
        <v>226</v>
      </c>
      <c r="F8" s="26" t="n">
        <v>30</v>
      </c>
      <c r="G8" s="20" t="s">
        <v>249</v>
      </c>
      <c r="H8" s="26" t="n">
        <v>30</v>
      </c>
      <c r="I8" s="20" t="s">
        <v>231</v>
      </c>
      <c r="J8" s="26" t="n">
        <v>0</v>
      </c>
      <c r="S8" s="27"/>
      <c r="T8" s="20" t="n">
        <f aca="false">D8+F8+H8+J8+L8+N8+P8+R8</f>
        <v>90</v>
      </c>
      <c r="U8" s="20" t="s">
        <v>237</v>
      </c>
    </row>
    <row r="9" customFormat="false" ht="15" hidden="false" customHeight="true" outlineLevel="0" collapsed="false">
      <c r="A9" s="20" t="s">
        <v>250</v>
      </c>
      <c r="B9" s="25" t="s">
        <v>251</v>
      </c>
      <c r="C9" s="20" t="s">
        <v>245</v>
      </c>
      <c r="D9" s="26" t="n">
        <v>0</v>
      </c>
      <c r="E9" s="20" t="s">
        <v>246</v>
      </c>
      <c r="F9" s="26" t="n">
        <v>60</v>
      </c>
      <c r="G9" s="20" t="s">
        <v>252</v>
      </c>
      <c r="H9" s="26" t="n">
        <v>30</v>
      </c>
      <c r="I9" s="20" t="s">
        <v>253</v>
      </c>
      <c r="J9" s="26" t="n">
        <v>30</v>
      </c>
      <c r="K9" s="20" t="s">
        <v>225</v>
      </c>
      <c r="L9" s="26" t="n">
        <v>0</v>
      </c>
      <c r="S9" s="27"/>
      <c r="T9" s="20" t="n">
        <f aca="false">D9+F9+H9+J9+L9+N9+P9+R9</f>
        <v>120</v>
      </c>
      <c r="U9" s="20" t="s">
        <v>232</v>
      </c>
    </row>
    <row r="10" customFormat="false" ht="15" hidden="false" customHeight="true" outlineLevel="0" collapsed="false">
      <c r="A10" s="20" t="s">
        <v>254</v>
      </c>
      <c r="B10" s="25" t="s">
        <v>255</v>
      </c>
      <c r="C10" s="20" t="s">
        <v>245</v>
      </c>
      <c r="D10" s="26" t="n">
        <v>0</v>
      </c>
      <c r="E10" s="20" t="s">
        <v>246</v>
      </c>
      <c r="F10" s="26" t="n">
        <v>60</v>
      </c>
      <c r="G10" s="20" t="s">
        <v>256</v>
      </c>
      <c r="H10" s="26" t="n">
        <v>45</v>
      </c>
      <c r="I10" s="20" t="s">
        <v>252</v>
      </c>
      <c r="J10" s="26" t="n">
        <v>30</v>
      </c>
      <c r="K10" s="20" t="s">
        <v>253</v>
      </c>
      <c r="L10" s="26" t="n">
        <v>30</v>
      </c>
      <c r="M10" s="20" t="s">
        <v>225</v>
      </c>
      <c r="N10" s="26" t="n">
        <v>0</v>
      </c>
      <c r="S10" s="27"/>
      <c r="T10" s="20" t="n">
        <f aca="false">D10+F10+H10+J10+L10+N10+P10+R10</f>
        <v>165</v>
      </c>
      <c r="U10" s="20" t="s">
        <v>232</v>
      </c>
    </row>
    <row r="11" customFormat="false" ht="15" hidden="false" customHeight="true" outlineLevel="0" collapsed="false">
      <c r="A11" s="20" t="s">
        <v>257</v>
      </c>
      <c r="B11" s="25" t="s">
        <v>258</v>
      </c>
      <c r="C11" s="20" t="s">
        <v>246</v>
      </c>
      <c r="D11" s="26" t="n">
        <v>45</v>
      </c>
      <c r="E11" s="20" t="s">
        <v>230</v>
      </c>
      <c r="F11" s="26" t="n">
        <v>30</v>
      </c>
      <c r="G11" s="20" t="s">
        <v>240</v>
      </c>
      <c r="H11" s="26" t="n">
        <v>30</v>
      </c>
      <c r="I11" s="20" t="s">
        <v>231</v>
      </c>
      <c r="J11" s="26" t="n">
        <v>0</v>
      </c>
      <c r="S11" s="27"/>
      <c r="T11" s="20" t="n">
        <f aca="false">D11+F11+H11+J11+L11+N11+P11+R11</f>
        <v>105</v>
      </c>
      <c r="U11" s="20" t="s">
        <v>237</v>
      </c>
    </row>
    <row r="12" customFormat="false" ht="15" hidden="false" customHeight="true" outlineLevel="0" collapsed="false">
      <c r="A12" s="20" t="s">
        <v>259</v>
      </c>
      <c r="B12" s="25" t="s">
        <v>260</v>
      </c>
      <c r="C12" s="20" t="s">
        <v>246</v>
      </c>
      <c r="D12" s="26" t="n">
        <v>60</v>
      </c>
      <c r="E12" s="20" t="s">
        <v>235</v>
      </c>
      <c r="F12" s="26" t="n">
        <v>15</v>
      </c>
      <c r="G12" s="20" t="s">
        <v>240</v>
      </c>
      <c r="H12" s="26" t="n">
        <v>15</v>
      </c>
      <c r="I12" s="20" t="s">
        <v>225</v>
      </c>
      <c r="J12" s="26" t="n">
        <v>0</v>
      </c>
      <c r="S12" s="27"/>
      <c r="T12" s="20" t="n">
        <f aca="false">D12+F12+H12+J12+L12+N12+P12+R12</f>
        <v>90</v>
      </c>
      <c r="U12" s="20" t="s">
        <v>237</v>
      </c>
    </row>
    <row r="13" customFormat="false" ht="15" hidden="false" customHeight="true" outlineLevel="0" collapsed="false">
      <c r="A13" s="20" t="s">
        <v>261</v>
      </c>
      <c r="B13" s="25" t="s">
        <v>262</v>
      </c>
      <c r="C13" s="20" t="s">
        <v>221</v>
      </c>
      <c r="D13" s="26" t="n">
        <v>0</v>
      </c>
      <c r="E13" s="20" t="s">
        <v>222</v>
      </c>
      <c r="F13" s="26" t="n">
        <v>30</v>
      </c>
      <c r="G13" s="20" t="s">
        <v>246</v>
      </c>
      <c r="H13" s="26" t="n">
        <v>30</v>
      </c>
      <c r="I13" s="20" t="s">
        <v>263</v>
      </c>
      <c r="J13" s="26" t="n">
        <v>30</v>
      </c>
      <c r="K13" s="20" t="s">
        <v>249</v>
      </c>
      <c r="L13" s="26" t="n">
        <v>60</v>
      </c>
      <c r="M13" s="20" t="s">
        <v>226</v>
      </c>
      <c r="N13" s="26" t="n">
        <v>60</v>
      </c>
      <c r="O13" s="20" t="s">
        <v>264</v>
      </c>
      <c r="P13" s="26" t="n">
        <v>0</v>
      </c>
      <c r="S13" s="27"/>
      <c r="T13" s="20" t="n">
        <f aca="false">D13+F13+H13+J13+L13+N13+P13+R13</f>
        <v>210</v>
      </c>
      <c r="U13" s="20" t="s">
        <v>227</v>
      </c>
    </row>
    <row r="14" customFormat="false" ht="15" hidden="false" customHeight="true" outlineLevel="0" collapsed="false">
      <c r="A14" s="20" t="s">
        <v>265</v>
      </c>
      <c r="B14" s="25" t="s">
        <v>266</v>
      </c>
      <c r="C14" s="20" t="s">
        <v>245</v>
      </c>
      <c r="D14" s="26" t="n">
        <v>0</v>
      </c>
      <c r="E14" s="20" t="s">
        <v>246</v>
      </c>
      <c r="F14" s="26" t="n">
        <v>60</v>
      </c>
      <c r="G14" s="20" t="s">
        <v>230</v>
      </c>
      <c r="H14" s="26" t="n">
        <v>30</v>
      </c>
      <c r="I14" s="20" t="s">
        <v>252</v>
      </c>
      <c r="J14" s="26" t="n">
        <v>5</v>
      </c>
      <c r="K14" s="20" t="s">
        <v>231</v>
      </c>
      <c r="L14" s="26" t="n">
        <v>0</v>
      </c>
      <c r="M14" s="20" t="s">
        <v>267</v>
      </c>
      <c r="N14" s="26" t="n">
        <v>0</v>
      </c>
      <c r="S14" s="27"/>
      <c r="T14" s="20" t="n">
        <f aca="false">D14+F14+H14+J14+L14+N14+P14+R14</f>
        <v>95</v>
      </c>
      <c r="U14" s="20" t="s">
        <v>237</v>
      </c>
    </row>
    <row r="15" customFormat="false" ht="15" hidden="false" customHeight="true" outlineLevel="0" collapsed="false">
      <c r="A15" s="20" t="s">
        <v>268</v>
      </c>
      <c r="B15" s="25" t="s">
        <v>269</v>
      </c>
      <c r="C15" s="20" t="s">
        <v>245</v>
      </c>
      <c r="D15" s="26" t="n">
        <v>0</v>
      </c>
      <c r="E15" s="20" t="s">
        <v>246</v>
      </c>
      <c r="F15" s="26" t="n">
        <v>60</v>
      </c>
      <c r="G15" s="20" t="s">
        <v>256</v>
      </c>
      <c r="H15" s="26" t="n">
        <v>60</v>
      </c>
      <c r="I15" s="20" t="s">
        <v>253</v>
      </c>
      <c r="J15" s="26" t="n">
        <v>30</v>
      </c>
      <c r="K15" s="20" t="s">
        <v>226</v>
      </c>
      <c r="L15" s="26" t="n">
        <v>10</v>
      </c>
      <c r="M15" s="20" t="s">
        <v>225</v>
      </c>
      <c r="N15" s="26" t="n">
        <v>0</v>
      </c>
      <c r="O15" s="20" t="s">
        <v>267</v>
      </c>
      <c r="P15" s="26" t="n">
        <v>0</v>
      </c>
      <c r="S15" s="27"/>
      <c r="T15" s="20" t="n">
        <f aca="false">D15+F15+H15+J15+L15+N15+P15+R15</f>
        <v>160</v>
      </c>
      <c r="U15" s="20" t="s">
        <v>232</v>
      </c>
    </row>
    <row r="16" customFormat="false" ht="15" hidden="false" customHeight="true" outlineLevel="0" collapsed="false">
      <c r="A16" s="20" t="s">
        <v>270</v>
      </c>
      <c r="B16" s="25" t="s">
        <v>271</v>
      </c>
      <c r="C16" s="20" t="s">
        <v>222</v>
      </c>
      <c r="D16" s="26" t="n">
        <v>60</v>
      </c>
      <c r="E16" s="20" t="s">
        <v>240</v>
      </c>
      <c r="F16" s="26" t="n">
        <v>10</v>
      </c>
      <c r="G16" s="20" t="s">
        <v>246</v>
      </c>
      <c r="H16" s="26" t="n">
        <v>60</v>
      </c>
      <c r="I16" s="20" t="s">
        <v>253</v>
      </c>
      <c r="J16" s="26" t="n">
        <v>10</v>
      </c>
      <c r="K16" s="20" t="s">
        <v>236</v>
      </c>
      <c r="L16" s="26" t="n">
        <v>10</v>
      </c>
      <c r="M16" s="20" t="s">
        <v>225</v>
      </c>
      <c r="N16" s="26" t="n">
        <v>0</v>
      </c>
      <c r="O16" s="20" t="s">
        <v>272</v>
      </c>
      <c r="P16" s="26" t="n">
        <v>60</v>
      </c>
      <c r="S16" s="27"/>
      <c r="T16" s="20" t="n">
        <f aca="false">D16+F16+H16+J16+L16+N16+P16+R16</f>
        <v>210</v>
      </c>
      <c r="U16" s="20" t="s">
        <v>227</v>
      </c>
    </row>
    <row r="17" customFormat="false" ht="15" hidden="false" customHeight="true" outlineLevel="0" collapsed="false">
      <c r="A17" s="20" t="s">
        <v>273</v>
      </c>
      <c r="B17" s="25" t="s">
        <v>274</v>
      </c>
      <c r="C17" s="20" t="s">
        <v>245</v>
      </c>
      <c r="D17" s="26" t="n">
        <v>0</v>
      </c>
      <c r="E17" s="20" t="s">
        <v>272</v>
      </c>
      <c r="F17" s="26" t="n">
        <v>30</v>
      </c>
      <c r="G17" s="20" t="s">
        <v>230</v>
      </c>
      <c r="H17" s="26" t="n">
        <v>60</v>
      </c>
      <c r="I17" s="20" t="s">
        <v>222</v>
      </c>
      <c r="J17" s="26" t="n">
        <v>8</v>
      </c>
      <c r="K17" s="20" t="s">
        <v>252</v>
      </c>
      <c r="L17" s="26" t="n">
        <v>5</v>
      </c>
      <c r="M17" s="20" t="s">
        <v>225</v>
      </c>
      <c r="N17" s="26" t="n">
        <v>0</v>
      </c>
      <c r="O17" s="20" t="s">
        <v>267</v>
      </c>
      <c r="P17" s="26" t="n">
        <v>0</v>
      </c>
      <c r="S17" s="27"/>
      <c r="T17" s="20" t="n">
        <f aca="false">D17+F17+H17+J17+L17+N17+P17+R17</f>
        <v>103</v>
      </c>
      <c r="U17" s="20" t="s">
        <v>237</v>
      </c>
    </row>
    <row r="18" customFormat="false" ht="15" hidden="false" customHeight="true" outlineLevel="0" collapsed="false">
      <c r="A18" s="20" t="s">
        <v>275</v>
      </c>
      <c r="B18" s="25" t="s">
        <v>276</v>
      </c>
      <c r="C18" s="20" t="s">
        <v>221</v>
      </c>
      <c r="D18" s="26" t="n">
        <v>0</v>
      </c>
      <c r="E18" s="20" t="s">
        <v>222</v>
      </c>
      <c r="F18" s="26" t="n">
        <v>90</v>
      </c>
      <c r="G18" s="20" t="s">
        <v>252</v>
      </c>
      <c r="H18" s="26" t="n">
        <v>60</v>
      </c>
      <c r="I18" s="20" t="s">
        <v>226</v>
      </c>
      <c r="J18" s="26" t="n">
        <v>60</v>
      </c>
      <c r="K18" s="20" t="s">
        <v>224</v>
      </c>
      <c r="L18" s="26" t="n">
        <v>60</v>
      </c>
      <c r="M18" s="20" t="s">
        <v>277</v>
      </c>
      <c r="N18" s="26" t="n">
        <v>5</v>
      </c>
      <c r="O18" s="20" t="s">
        <v>225</v>
      </c>
      <c r="P18" s="26" t="n">
        <v>0</v>
      </c>
      <c r="S18" s="27"/>
      <c r="T18" s="20" t="n">
        <f aca="false">D18+F18+H18+J18+L18+N18+P18+R18</f>
        <v>275</v>
      </c>
      <c r="U18" s="20" t="s">
        <v>227</v>
      </c>
    </row>
    <row r="19" customFormat="false" ht="15" hidden="false" customHeight="true" outlineLevel="0" collapsed="false">
      <c r="A19" s="20" t="s">
        <v>278</v>
      </c>
      <c r="B19" s="25" t="s">
        <v>279</v>
      </c>
      <c r="C19" s="15" t="s">
        <v>263</v>
      </c>
      <c r="D19" s="26" t="n">
        <v>15</v>
      </c>
      <c r="E19" s="20" t="s">
        <v>222</v>
      </c>
      <c r="F19" s="26" t="n">
        <v>15</v>
      </c>
      <c r="G19" s="20" t="s">
        <v>231</v>
      </c>
      <c r="H19" s="26" t="n">
        <v>0</v>
      </c>
      <c r="I19" s="20" t="s">
        <v>224</v>
      </c>
      <c r="J19" s="26" t="n">
        <v>120</v>
      </c>
      <c r="K19" s="20" t="s">
        <v>225</v>
      </c>
      <c r="L19" s="26" t="n">
        <v>0</v>
      </c>
      <c r="S19" s="27"/>
      <c r="T19" s="20" t="n">
        <f aca="false">D19+F19+H19+J19+L19+N19+P19+R19</f>
        <v>150</v>
      </c>
      <c r="U19" s="20" t="s">
        <v>232</v>
      </c>
    </row>
    <row r="20" customFormat="false" ht="15" hidden="false" customHeight="true" outlineLevel="0" collapsed="false">
      <c r="A20" s="20" t="s">
        <v>280</v>
      </c>
      <c r="B20" s="25" t="s">
        <v>281</v>
      </c>
      <c r="C20" s="20" t="s">
        <v>272</v>
      </c>
      <c r="D20" s="26" t="n">
        <v>30</v>
      </c>
      <c r="E20" s="20" t="s">
        <v>222</v>
      </c>
      <c r="F20" s="26" t="n">
        <v>30</v>
      </c>
      <c r="G20" s="20" t="s">
        <v>246</v>
      </c>
      <c r="H20" s="26" t="n">
        <v>30</v>
      </c>
      <c r="I20" s="15" t="s">
        <v>263</v>
      </c>
      <c r="J20" s="26" t="n">
        <v>30</v>
      </c>
      <c r="K20" s="20" t="s">
        <v>225</v>
      </c>
      <c r="L20" s="26" t="n">
        <v>0</v>
      </c>
      <c r="S20" s="27"/>
      <c r="T20" s="20" t="n">
        <f aca="false">D20+F20+H20+J20+L20+N20+P20+R20</f>
        <v>120</v>
      </c>
      <c r="U20" s="20" t="s">
        <v>237</v>
      </c>
    </row>
    <row r="21" customFormat="false" ht="15" hidden="false" customHeight="true" outlineLevel="0" collapsed="false">
      <c r="A21" s="20" t="s">
        <v>282</v>
      </c>
      <c r="B21" s="25" t="s">
        <v>283</v>
      </c>
      <c r="C21" s="20" t="s">
        <v>222</v>
      </c>
      <c r="D21" s="26" t="n">
        <v>60</v>
      </c>
      <c r="E21" s="20" t="s">
        <v>223</v>
      </c>
      <c r="F21" s="26" t="n">
        <v>60</v>
      </c>
      <c r="G21" s="20" t="s">
        <v>284</v>
      </c>
      <c r="H21" s="26" t="n">
        <v>120</v>
      </c>
      <c r="I21" s="20" t="s">
        <v>231</v>
      </c>
      <c r="J21" s="26" t="n">
        <v>0</v>
      </c>
      <c r="S21" s="27"/>
      <c r="T21" s="20" t="n">
        <f aca="false">D21+F21+H21+J21+L21+N21+P21+R21</f>
        <v>240</v>
      </c>
      <c r="U21" s="20" t="s">
        <v>227</v>
      </c>
    </row>
    <row r="22" customFormat="false" ht="15" hidden="false" customHeight="true" outlineLevel="0" collapsed="false">
      <c r="A22" s="20" t="s">
        <v>285</v>
      </c>
      <c r="B22" s="25" t="s">
        <v>283</v>
      </c>
      <c r="C22" s="20" t="s">
        <v>245</v>
      </c>
      <c r="D22" s="20" t="n">
        <v>0</v>
      </c>
      <c r="E22" s="20" t="s">
        <v>222</v>
      </c>
      <c r="F22" s="20" t="n">
        <v>38</v>
      </c>
      <c r="G22" s="20" t="s">
        <v>230</v>
      </c>
      <c r="H22" s="20" t="n">
        <v>45</v>
      </c>
      <c r="I22" s="20" t="s">
        <v>240</v>
      </c>
      <c r="J22" s="20" t="n">
        <v>45</v>
      </c>
      <c r="K22" s="20" t="s">
        <v>277</v>
      </c>
      <c r="L22" s="20" t="n">
        <v>5</v>
      </c>
      <c r="M22" s="20" t="s">
        <v>231</v>
      </c>
      <c r="N22" s="20" t="n">
        <v>0</v>
      </c>
      <c r="S22" s="27"/>
      <c r="T22" s="20" t="n">
        <f aca="false">D22+F22+H22+J22+L22+N22+P22+R22</f>
        <v>133</v>
      </c>
      <c r="U22" s="20" t="s">
        <v>232</v>
      </c>
    </row>
    <row r="23" customFormat="false" ht="15" hidden="false" customHeight="true" outlineLevel="0" collapsed="false">
      <c r="A23" s="20" t="s">
        <v>286</v>
      </c>
      <c r="B23" s="25" t="s">
        <v>283</v>
      </c>
      <c r="C23" s="20" t="s">
        <v>221</v>
      </c>
      <c r="D23" s="20" t="n">
        <v>0</v>
      </c>
      <c r="E23" s="20" t="s">
        <v>226</v>
      </c>
      <c r="F23" s="20" t="n">
        <v>30</v>
      </c>
      <c r="G23" s="20" t="s">
        <v>230</v>
      </c>
      <c r="H23" s="20" t="n">
        <v>30</v>
      </c>
      <c r="I23" s="20" t="s">
        <v>240</v>
      </c>
      <c r="J23" s="20" t="n">
        <v>30</v>
      </c>
      <c r="K23" s="20" t="s">
        <v>222</v>
      </c>
      <c r="L23" s="20" t="n">
        <v>30</v>
      </c>
      <c r="M23" s="20" t="s">
        <v>225</v>
      </c>
      <c r="N23" s="20" t="n">
        <v>0</v>
      </c>
      <c r="S23" s="27"/>
      <c r="T23" s="20" t="n">
        <f aca="false">D23+F23+H23+J23+L23+N23+P23+R23</f>
        <v>120</v>
      </c>
      <c r="U23" s="20" t="s">
        <v>232</v>
      </c>
    </row>
    <row r="24" customFormat="false" ht="15" hidden="false" customHeight="true" outlineLevel="0" collapsed="false">
      <c r="A24" s="20" t="s">
        <v>287</v>
      </c>
      <c r="B24" s="25" t="s">
        <v>283</v>
      </c>
      <c r="C24" s="20" t="s">
        <v>221</v>
      </c>
      <c r="D24" s="20" t="n">
        <v>0</v>
      </c>
      <c r="E24" s="20" t="s">
        <v>272</v>
      </c>
      <c r="F24" s="20" t="n">
        <v>30</v>
      </c>
      <c r="G24" s="20" t="s">
        <v>236</v>
      </c>
      <c r="H24" s="20" t="n">
        <v>180</v>
      </c>
      <c r="I24" s="20" t="s">
        <v>222</v>
      </c>
      <c r="J24" s="20" t="n">
        <v>30</v>
      </c>
      <c r="K24" s="20" t="s">
        <v>231</v>
      </c>
      <c r="L24" s="20" t="n">
        <v>0</v>
      </c>
      <c r="S24" s="27"/>
      <c r="T24" s="20" t="n">
        <f aca="false">D24+F24+H24+J24+L24+N24+P24+R24</f>
        <v>240</v>
      </c>
      <c r="U24" s="20" t="s">
        <v>227</v>
      </c>
    </row>
    <row r="25" customFormat="false" ht="15" hidden="false" customHeight="true" outlineLevel="0" collapsed="false">
      <c r="A25" s="20" t="s">
        <v>288</v>
      </c>
      <c r="B25" s="25" t="s">
        <v>283</v>
      </c>
      <c r="C25" s="20" t="s">
        <v>221</v>
      </c>
      <c r="D25" s="20" t="n">
        <v>0</v>
      </c>
      <c r="E25" s="20" t="s">
        <v>222</v>
      </c>
      <c r="F25" s="20" t="n">
        <v>45</v>
      </c>
      <c r="G25" s="20" t="s">
        <v>240</v>
      </c>
      <c r="H25" s="20" t="n">
        <v>135</v>
      </c>
      <c r="I25" s="20" t="s">
        <v>226</v>
      </c>
      <c r="J25" s="20" t="n">
        <v>10</v>
      </c>
      <c r="K25" s="20" t="s">
        <v>231</v>
      </c>
      <c r="L25" s="20" t="n">
        <v>0</v>
      </c>
      <c r="S25" s="27"/>
      <c r="T25" s="20" t="n">
        <f aca="false">D25+F25+H25+J25+L25+N25+P25+R25</f>
        <v>190</v>
      </c>
      <c r="U25" s="20" t="s">
        <v>227</v>
      </c>
    </row>
    <row r="26" customFormat="false" ht="15" hidden="false" customHeight="true" outlineLevel="0" collapsed="false">
      <c r="A26" s="20" t="s">
        <v>289</v>
      </c>
      <c r="B26" s="25" t="s">
        <v>283</v>
      </c>
      <c r="C26" s="20" t="s">
        <v>221</v>
      </c>
      <c r="D26" s="20" t="n">
        <v>0</v>
      </c>
      <c r="E26" s="20" t="s">
        <v>256</v>
      </c>
      <c r="F26" s="20" t="n">
        <v>30</v>
      </c>
      <c r="G26" s="20" t="s">
        <v>277</v>
      </c>
      <c r="H26" s="20" t="n">
        <v>5</v>
      </c>
      <c r="I26" s="20" t="s">
        <v>224</v>
      </c>
      <c r="J26" s="20" t="n">
        <v>120</v>
      </c>
      <c r="K26" s="20" t="s">
        <v>240</v>
      </c>
      <c r="L26" s="20" t="n">
        <v>120</v>
      </c>
      <c r="M26" s="20" t="s">
        <v>231</v>
      </c>
      <c r="N26" s="20" t="n">
        <v>0</v>
      </c>
      <c r="S26" s="27"/>
      <c r="T26" s="20" t="n">
        <f aca="false">D26+F26+H26+J26+L26+N26+P26+R26</f>
        <v>275</v>
      </c>
      <c r="U26" s="20" t="s">
        <v>227</v>
      </c>
    </row>
    <row r="27" customFormat="false" ht="15" hidden="false" customHeight="true" outlineLevel="0" collapsed="false">
      <c r="A27" s="20" t="s">
        <v>290</v>
      </c>
      <c r="B27" s="25" t="s">
        <v>283</v>
      </c>
      <c r="C27" s="20" t="s">
        <v>224</v>
      </c>
      <c r="D27" s="20" t="n">
        <v>135</v>
      </c>
      <c r="E27" s="20" t="s">
        <v>222</v>
      </c>
      <c r="F27" s="20" t="n">
        <v>60</v>
      </c>
      <c r="G27" s="20" t="s">
        <v>223</v>
      </c>
      <c r="H27" s="20" t="n">
        <v>60</v>
      </c>
      <c r="I27" s="20" t="s">
        <v>225</v>
      </c>
      <c r="J27" s="20" t="n">
        <v>0</v>
      </c>
      <c r="K27" s="20" t="s">
        <v>226</v>
      </c>
      <c r="L27" s="20" t="n">
        <v>30</v>
      </c>
      <c r="S27" s="27"/>
      <c r="T27" s="20" t="n">
        <f aca="false">D27+F27+H27+J27+L27+N27+P27+R27</f>
        <v>285</v>
      </c>
      <c r="U27" s="20" t="s">
        <v>227</v>
      </c>
    </row>
    <row r="28" customFormat="false" ht="15" hidden="false" customHeight="true" outlineLevel="0" collapsed="false">
      <c r="A28" s="20" t="s">
        <v>291</v>
      </c>
      <c r="B28" s="25" t="s">
        <v>283</v>
      </c>
      <c r="C28" s="20" t="s">
        <v>221</v>
      </c>
      <c r="D28" s="20" t="n">
        <v>0</v>
      </c>
      <c r="E28" s="20" t="s">
        <v>277</v>
      </c>
      <c r="F28" s="20" t="n">
        <v>23</v>
      </c>
      <c r="G28" s="20" t="s">
        <v>230</v>
      </c>
      <c r="H28" s="20" t="n">
        <v>60</v>
      </c>
      <c r="I28" s="20" t="s">
        <v>222</v>
      </c>
      <c r="J28" s="20" t="n">
        <v>120</v>
      </c>
      <c r="K28" s="20" t="s">
        <v>225</v>
      </c>
      <c r="L28" s="20" t="n">
        <v>0</v>
      </c>
      <c r="M28" s="20" t="s">
        <v>267</v>
      </c>
      <c r="N28" s="20" t="n">
        <v>0</v>
      </c>
      <c r="S28" s="27"/>
      <c r="T28" s="20" t="n">
        <f aca="false">D28+F28+H28+J28+L28+N28+P28+R28</f>
        <v>203</v>
      </c>
      <c r="U28" s="20" t="s">
        <v>227</v>
      </c>
    </row>
    <row r="29" customFormat="false" ht="15" hidden="false" customHeight="true" outlineLevel="0" collapsed="false">
      <c r="A29" s="20" t="s">
        <v>292</v>
      </c>
      <c r="B29" s="25" t="s">
        <v>283</v>
      </c>
      <c r="C29" s="20" t="s">
        <v>221</v>
      </c>
      <c r="D29" s="20" t="n">
        <v>0</v>
      </c>
      <c r="E29" s="20" t="s">
        <v>272</v>
      </c>
      <c r="F29" s="20" t="n">
        <v>60</v>
      </c>
      <c r="G29" s="20" t="s">
        <v>222</v>
      </c>
      <c r="H29" s="20" t="n">
        <v>60</v>
      </c>
      <c r="I29" s="20" t="s">
        <v>253</v>
      </c>
      <c r="J29" s="20" t="n">
        <v>30</v>
      </c>
      <c r="K29" s="20" t="s">
        <v>226</v>
      </c>
      <c r="L29" s="20" t="n">
        <v>90</v>
      </c>
      <c r="M29" s="20" t="s">
        <v>231</v>
      </c>
      <c r="N29" s="20" t="n">
        <v>0</v>
      </c>
      <c r="S29" s="27"/>
      <c r="T29" s="20" t="n">
        <f aca="false">D29+F29+H29+J29+L29+N29+P29+R29</f>
        <v>240</v>
      </c>
      <c r="U29" s="20" t="s">
        <v>227</v>
      </c>
    </row>
    <row r="30" customFormat="false" ht="15" hidden="false" customHeight="true" outlineLevel="0" collapsed="false">
      <c r="A30" s="20" t="s">
        <v>293</v>
      </c>
      <c r="B30" s="25" t="s">
        <v>283</v>
      </c>
      <c r="C30" s="20" t="s">
        <v>221</v>
      </c>
      <c r="D30" s="20" t="n">
        <v>0</v>
      </c>
      <c r="E30" s="20" t="s">
        <v>263</v>
      </c>
      <c r="F30" s="20" t="n">
        <v>60</v>
      </c>
      <c r="G30" s="20" t="s">
        <v>253</v>
      </c>
      <c r="H30" s="20" t="n">
        <v>30</v>
      </c>
      <c r="I30" s="20" t="s">
        <v>277</v>
      </c>
      <c r="J30" s="20" t="n">
        <v>30</v>
      </c>
      <c r="K30" s="20" t="s">
        <v>225</v>
      </c>
      <c r="L30" s="20" t="n">
        <v>0</v>
      </c>
      <c r="M30" s="20" t="s">
        <v>267</v>
      </c>
      <c r="N30" s="20" t="n">
        <v>0</v>
      </c>
      <c r="S30" s="27"/>
      <c r="T30" s="20" t="n">
        <f aca="false">D30+F30+H30+J30+L30+N30+P30+R30</f>
        <v>120</v>
      </c>
      <c r="U30" s="20" t="s">
        <v>237</v>
      </c>
    </row>
    <row r="31" customFormat="false" ht="15" hidden="false" customHeight="true" outlineLevel="0" collapsed="false">
      <c r="A31" s="20" t="s">
        <v>294</v>
      </c>
      <c r="B31" s="25" t="s">
        <v>283</v>
      </c>
      <c r="C31" s="20" t="s">
        <v>221</v>
      </c>
      <c r="D31" s="20" t="n">
        <v>0</v>
      </c>
      <c r="E31" s="20" t="s">
        <v>222</v>
      </c>
      <c r="F31" s="20" t="n">
        <v>60</v>
      </c>
      <c r="G31" s="20" t="s">
        <v>246</v>
      </c>
      <c r="H31" s="20" t="n">
        <v>30</v>
      </c>
      <c r="I31" s="20" t="s">
        <v>272</v>
      </c>
      <c r="J31" s="20" t="n">
        <v>30</v>
      </c>
      <c r="K31" s="15" t="s">
        <v>263</v>
      </c>
      <c r="L31" s="20" t="n">
        <v>30</v>
      </c>
      <c r="M31" s="20" t="s">
        <v>224</v>
      </c>
      <c r="N31" s="20" t="n">
        <v>60</v>
      </c>
      <c r="O31" s="20" t="s">
        <v>225</v>
      </c>
      <c r="P31" s="20" t="n">
        <v>0</v>
      </c>
      <c r="Q31" s="20" t="s">
        <v>267</v>
      </c>
      <c r="R31" s="20" t="n">
        <v>0</v>
      </c>
      <c r="S31" s="27"/>
      <c r="T31" s="20" t="n">
        <f aca="false">D31+F31+H31+J31+L31+N31+P31+R31</f>
        <v>210</v>
      </c>
      <c r="U31" s="20" t="s">
        <v>227</v>
      </c>
    </row>
    <row r="32" customFormat="false" ht="15" hidden="false" customHeight="true" outlineLevel="0" collapsed="false">
      <c r="A32" s="20" t="s">
        <v>295</v>
      </c>
      <c r="B32" s="25" t="s">
        <v>283</v>
      </c>
      <c r="C32" s="20" t="s">
        <v>221</v>
      </c>
      <c r="D32" s="20" t="n">
        <v>0</v>
      </c>
      <c r="E32" s="15" t="s">
        <v>263</v>
      </c>
      <c r="F32" s="20" t="n">
        <v>45</v>
      </c>
      <c r="G32" s="20" t="s">
        <v>226</v>
      </c>
      <c r="H32" s="20" t="n">
        <v>30</v>
      </c>
      <c r="I32" s="20" t="s">
        <v>252</v>
      </c>
      <c r="J32" s="20" t="n">
        <v>30</v>
      </c>
      <c r="K32" s="20" t="s">
        <v>236</v>
      </c>
      <c r="L32" s="20" t="n">
        <v>15</v>
      </c>
      <c r="M32" s="20" t="s">
        <v>225</v>
      </c>
      <c r="N32" s="20" t="n">
        <v>0</v>
      </c>
      <c r="S32" s="27"/>
      <c r="T32" s="20" t="n">
        <f aca="false">D32+F32+H32+J32+L32+N32+P32+R32</f>
        <v>120</v>
      </c>
      <c r="U32" s="20" t="s">
        <v>232</v>
      </c>
    </row>
    <row r="33" customFormat="false" ht="15" hidden="false" customHeight="true" outlineLevel="0" collapsed="false">
      <c r="A33" s="20" t="s">
        <v>296</v>
      </c>
      <c r="B33" s="25" t="s">
        <v>283</v>
      </c>
      <c r="C33" s="20" t="s">
        <v>222</v>
      </c>
      <c r="D33" s="20" t="n">
        <v>60</v>
      </c>
      <c r="E33" s="20" t="s">
        <v>236</v>
      </c>
      <c r="F33" s="20" t="n">
        <v>30</v>
      </c>
      <c r="G33" s="20" t="s">
        <v>230</v>
      </c>
      <c r="H33" s="20" t="n">
        <v>150</v>
      </c>
      <c r="I33" s="20" t="s">
        <v>231</v>
      </c>
      <c r="J33" s="20" t="n">
        <v>0</v>
      </c>
      <c r="S33" s="27"/>
      <c r="T33" s="20" t="n">
        <f aca="false">D33+F33+H33+J33+L33+N33+P33+R33</f>
        <v>240</v>
      </c>
      <c r="U33" s="20" t="s">
        <v>227</v>
      </c>
    </row>
    <row r="34" customFormat="false" ht="15" hidden="false" customHeight="true" outlineLevel="0" collapsed="false">
      <c r="A34" s="20" t="s">
        <v>297</v>
      </c>
      <c r="B34" s="25" t="s">
        <v>283</v>
      </c>
      <c r="C34" s="20" t="s">
        <v>249</v>
      </c>
      <c r="D34" s="20" t="n">
        <v>120</v>
      </c>
      <c r="E34" s="20" t="s">
        <v>222</v>
      </c>
      <c r="F34" s="20" t="n">
        <v>120</v>
      </c>
      <c r="G34" s="20" t="s">
        <v>277</v>
      </c>
      <c r="H34" s="20" t="n">
        <v>60</v>
      </c>
      <c r="S34" s="27"/>
      <c r="T34" s="20" t="n">
        <f aca="false">D34+F34+H34+J34+L34+N34+P34+R34</f>
        <v>300</v>
      </c>
      <c r="U34" s="20" t="s">
        <v>227</v>
      </c>
    </row>
    <row r="35" customFormat="false" ht="15" hidden="false" customHeight="true" outlineLevel="0" collapsed="false">
      <c r="A35" s="20" t="s">
        <v>298</v>
      </c>
      <c r="B35" s="25" t="s">
        <v>283</v>
      </c>
      <c r="C35" s="20" t="s">
        <v>222</v>
      </c>
      <c r="D35" s="20" t="n">
        <v>30</v>
      </c>
      <c r="E35" s="20" t="s">
        <v>223</v>
      </c>
      <c r="F35" s="20" t="n">
        <v>30</v>
      </c>
      <c r="G35" s="20" t="s">
        <v>230</v>
      </c>
      <c r="H35" s="20" t="n">
        <v>90</v>
      </c>
      <c r="I35" s="20" t="s">
        <v>226</v>
      </c>
      <c r="J35" s="20" t="n">
        <v>90</v>
      </c>
      <c r="K35" s="20" t="s">
        <v>225</v>
      </c>
      <c r="L35" s="20" t="n">
        <v>0</v>
      </c>
      <c r="S35" s="27"/>
      <c r="T35" s="20" t="n">
        <f aca="false">D35+F35+H35+J35+L35+N35+P35+R35</f>
        <v>240</v>
      </c>
      <c r="U35" s="20" t="s">
        <v>227</v>
      </c>
    </row>
    <row r="36" customFormat="false" ht="15" hidden="false" customHeight="true" outlineLevel="0" collapsed="false">
      <c r="A36" s="20" t="s">
        <v>299</v>
      </c>
      <c r="B36" s="25" t="s">
        <v>283</v>
      </c>
      <c r="C36" s="20" t="s">
        <v>222</v>
      </c>
      <c r="D36" s="20" t="n">
        <v>120</v>
      </c>
      <c r="E36" s="20" t="s">
        <v>284</v>
      </c>
      <c r="F36" s="20" t="n">
        <v>120</v>
      </c>
      <c r="G36" s="20" t="s">
        <v>256</v>
      </c>
      <c r="H36" s="20" t="n">
        <v>10</v>
      </c>
      <c r="I36" s="20" t="s">
        <v>231</v>
      </c>
      <c r="J36" s="20" t="n">
        <v>0</v>
      </c>
      <c r="S36" s="27"/>
      <c r="T36" s="20" t="n">
        <f aca="false">D36+F36+H36+J36+L36+N36+P36+R36</f>
        <v>250</v>
      </c>
      <c r="U36" s="20" t="s">
        <v>227</v>
      </c>
    </row>
    <row r="37" customFormat="false" ht="15" hidden="false" customHeight="true" outlineLevel="0" collapsed="false">
      <c r="A37" s="20" t="s">
        <v>300</v>
      </c>
      <c r="B37" s="25" t="s">
        <v>283</v>
      </c>
      <c r="C37" s="20" t="s">
        <v>221</v>
      </c>
      <c r="D37" s="20" t="n">
        <v>0</v>
      </c>
      <c r="E37" s="20" t="s">
        <v>252</v>
      </c>
      <c r="F37" s="20" t="n">
        <v>75</v>
      </c>
      <c r="G37" s="20" t="s">
        <v>230</v>
      </c>
      <c r="H37" s="20" t="n">
        <v>120</v>
      </c>
      <c r="I37" s="20" t="s">
        <v>231</v>
      </c>
      <c r="J37" s="20" t="n">
        <v>0</v>
      </c>
      <c r="K37" s="20" t="s">
        <v>277</v>
      </c>
      <c r="L37" s="20" t="n">
        <v>10</v>
      </c>
      <c r="S37" s="27"/>
      <c r="T37" s="20" t="n">
        <f aca="false">D37+F37+H37+J37+L37+N37+P37+R37</f>
        <v>205</v>
      </c>
      <c r="U37" s="20" t="s">
        <v>227</v>
      </c>
    </row>
    <row r="38" customFormat="false" ht="15" hidden="false" customHeight="true" outlineLevel="0" collapsed="false">
      <c r="A38" s="20" t="s">
        <v>301</v>
      </c>
      <c r="B38" s="25" t="s">
        <v>283</v>
      </c>
      <c r="C38" s="20" t="s">
        <v>221</v>
      </c>
      <c r="D38" s="20" t="n">
        <v>0</v>
      </c>
      <c r="E38" s="20" t="s">
        <v>222</v>
      </c>
      <c r="F38" s="20" t="n">
        <v>30</v>
      </c>
      <c r="G38" s="20" t="s">
        <v>236</v>
      </c>
      <c r="H38" s="20" t="n">
        <v>60</v>
      </c>
      <c r="I38" s="20" t="s">
        <v>226</v>
      </c>
      <c r="J38" s="20" t="n">
        <v>210</v>
      </c>
      <c r="K38" s="20" t="s">
        <v>231</v>
      </c>
      <c r="L38" s="20" t="n">
        <v>0</v>
      </c>
      <c r="S38" s="27"/>
      <c r="T38" s="20" t="n">
        <f aca="false">D38+F38+H38+J38+L38+N38+P38+R38</f>
        <v>300</v>
      </c>
      <c r="U38" s="20" t="s">
        <v>227</v>
      </c>
    </row>
    <row r="39" customFormat="false" ht="15" hidden="false" customHeight="true" outlineLevel="0" collapsed="false">
      <c r="A39" s="20" t="s">
        <v>302</v>
      </c>
      <c r="B39" s="25" t="s">
        <v>283</v>
      </c>
      <c r="C39" s="20" t="s">
        <v>246</v>
      </c>
      <c r="D39" s="20" t="n">
        <v>60</v>
      </c>
      <c r="E39" s="20" t="s">
        <v>230</v>
      </c>
      <c r="F39" s="20" t="n">
        <v>90</v>
      </c>
      <c r="G39" s="20" t="s">
        <v>231</v>
      </c>
      <c r="H39" s="20" t="n">
        <v>0</v>
      </c>
      <c r="S39" s="27"/>
      <c r="T39" s="20" t="n">
        <f aca="false">D39+F39+H39+J39+L39+N39+P39+R39</f>
        <v>150</v>
      </c>
      <c r="U39" s="20" t="s">
        <v>232</v>
      </c>
    </row>
    <row r="40" customFormat="false" ht="15" hidden="false" customHeight="true" outlineLevel="0" collapsed="false">
      <c r="A40" s="20" t="s">
        <v>303</v>
      </c>
      <c r="B40" s="25" t="s">
        <v>283</v>
      </c>
      <c r="C40" s="20" t="s">
        <v>221</v>
      </c>
      <c r="D40" s="20" t="n">
        <v>0</v>
      </c>
      <c r="E40" s="20" t="s">
        <v>246</v>
      </c>
      <c r="F40" s="20" t="n">
        <v>60</v>
      </c>
      <c r="G40" s="20" t="s">
        <v>277</v>
      </c>
      <c r="H40" s="20" t="n">
        <v>5</v>
      </c>
      <c r="I40" s="20" t="s">
        <v>253</v>
      </c>
      <c r="J40" s="20" t="n">
        <v>30</v>
      </c>
      <c r="K40" s="20" t="s">
        <v>236</v>
      </c>
      <c r="L40" s="20" t="n">
        <v>30</v>
      </c>
      <c r="M40" s="20" t="s">
        <v>224</v>
      </c>
      <c r="N40" s="20" t="n">
        <v>60</v>
      </c>
      <c r="O40" s="20" t="s">
        <v>231</v>
      </c>
      <c r="P40" s="20" t="n">
        <v>0</v>
      </c>
      <c r="S40" s="27"/>
      <c r="T40" s="20" t="n">
        <f aca="false">D40+F40+H40+J40+L40+N40+P40+R40</f>
        <v>185</v>
      </c>
      <c r="U40" s="20" t="s">
        <v>227</v>
      </c>
    </row>
    <row r="41" customFormat="false" ht="15" hidden="false" customHeight="true" outlineLevel="0" collapsed="false">
      <c r="A41" s="20" t="s">
        <v>304</v>
      </c>
      <c r="B41" s="25" t="s">
        <v>283</v>
      </c>
      <c r="C41" s="20" t="s">
        <v>221</v>
      </c>
      <c r="D41" s="20" t="n">
        <v>0</v>
      </c>
      <c r="E41" s="20" t="s">
        <v>222</v>
      </c>
      <c r="F41" s="20" t="n">
        <v>45</v>
      </c>
      <c r="G41" s="20" t="s">
        <v>252</v>
      </c>
      <c r="H41" s="20" t="n">
        <v>15</v>
      </c>
      <c r="I41" s="20" t="s">
        <v>226</v>
      </c>
      <c r="J41" s="20" t="n">
        <v>120</v>
      </c>
      <c r="K41" s="20" t="s">
        <v>231</v>
      </c>
      <c r="L41" s="20" t="n">
        <v>0</v>
      </c>
      <c r="S41" s="27"/>
      <c r="T41" s="20" t="n">
        <f aca="false">D41+F41+H41+J41+L41+N41+P41+R41</f>
        <v>180</v>
      </c>
      <c r="U41" s="20" t="s">
        <v>232</v>
      </c>
    </row>
    <row r="42" customFormat="false" ht="15" hidden="false" customHeight="true" outlineLevel="0" collapsed="false">
      <c r="A42" s="20" t="s">
        <v>305</v>
      </c>
      <c r="B42" s="25" t="s">
        <v>283</v>
      </c>
      <c r="C42" s="20" t="s">
        <v>222</v>
      </c>
      <c r="D42" s="20" t="n">
        <v>30</v>
      </c>
      <c r="E42" s="20" t="s">
        <v>246</v>
      </c>
      <c r="F42" s="20" t="n">
        <v>30</v>
      </c>
      <c r="G42" s="20" t="s">
        <v>256</v>
      </c>
      <c r="H42" s="20" t="n">
        <v>30</v>
      </c>
      <c r="I42" s="20" t="s">
        <v>231</v>
      </c>
      <c r="J42" s="20" t="n">
        <v>0</v>
      </c>
      <c r="K42" s="20" t="s">
        <v>306</v>
      </c>
      <c r="L42" s="20" t="n">
        <v>90</v>
      </c>
      <c r="S42" s="27"/>
      <c r="T42" s="20" t="n">
        <f aca="false">D42+F42+H42+J42+L42+N42+P42+R42</f>
        <v>180</v>
      </c>
      <c r="U42" s="20" t="s">
        <v>232</v>
      </c>
    </row>
    <row r="43" customFormat="false" ht="15" hidden="false" customHeight="true" outlineLevel="0" collapsed="false">
      <c r="A43" s="20" t="s">
        <v>307</v>
      </c>
      <c r="B43" s="25" t="s">
        <v>308</v>
      </c>
      <c r="C43" s="20" t="s">
        <v>221</v>
      </c>
      <c r="D43" s="20" t="n">
        <v>0</v>
      </c>
      <c r="E43" s="20" t="s">
        <v>222</v>
      </c>
      <c r="F43" s="20" t="n">
        <v>60</v>
      </c>
      <c r="G43" s="20" t="s">
        <v>284</v>
      </c>
      <c r="H43" s="20" t="n">
        <v>240</v>
      </c>
      <c r="S43" s="27"/>
      <c r="T43" s="20" t="n">
        <f aca="false">D43+F43+H43+J43+L43+N43+P43+R43</f>
        <v>300</v>
      </c>
    </row>
    <row r="44" customFormat="false" ht="15" hidden="false" customHeight="true" outlineLevel="0" collapsed="false">
      <c r="A44" s="20" t="s">
        <v>309</v>
      </c>
      <c r="B44" s="25" t="s">
        <v>308</v>
      </c>
      <c r="C44" s="20" t="s">
        <v>284</v>
      </c>
      <c r="D44" s="20" t="n">
        <v>120</v>
      </c>
      <c r="E44" s="20" t="s">
        <v>256</v>
      </c>
      <c r="F44" s="20" t="n">
        <v>50</v>
      </c>
      <c r="G44" s="20" t="s">
        <v>236</v>
      </c>
      <c r="H44" s="20" t="n">
        <v>10</v>
      </c>
      <c r="S44" s="27"/>
      <c r="T44" s="20" t="n">
        <f aca="false">D44+F44+H44+J44+L44+N44+P44+R44</f>
        <v>180</v>
      </c>
    </row>
    <row r="45" customFormat="false" ht="15" hidden="false" customHeight="true" outlineLevel="0" collapsed="false">
      <c r="A45" s="20" t="s">
        <v>310</v>
      </c>
      <c r="B45" s="25" t="s">
        <v>311</v>
      </c>
      <c r="C45" s="20" t="s">
        <v>235</v>
      </c>
      <c r="D45" s="20" t="n">
        <v>30</v>
      </c>
      <c r="E45" s="20" t="s">
        <v>236</v>
      </c>
      <c r="F45" s="20" t="n">
        <v>30</v>
      </c>
      <c r="G45" s="20" t="s">
        <v>272</v>
      </c>
      <c r="H45" s="20" t="n">
        <v>60</v>
      </c>
      <c r="S45" s="27"/>
      <c r="T45" s="20" t="n">
        <f aca="false">D45+F45+H45+J45+L45+N45+P45+R45</f>
        <v>120</v>
      </c>
    </row>
    <row r="46" customFormat="false" ht="15" hidden="false" customHeight="true" outlineLevel="0" collapsed="false">
      <c r="B46" s="25"/>
      <c r="S46" s="27"/>
      <c r="T46" s="20" t="n">
        <f aca="false">D46+F46+H46+J46+L46+N46+P46+R46</f>
        <v>0</v>
      </c>
    </row>
    <row r="47" customFormat="false" ht="15" hidden="false" customHeight="true" outlineLevel="0" collapsed="false">
      <c r="B47" s="25"/>
      <c r="S47" s="27"/>
      <c r="T47" s="20" t="n">
        <f aca="false">D47+F47+H47+J47+L47+N47+P47+R47</f>
        <v>0</v>
      </c>
    </row>
    <row r="48" customFormat="false" ht="15" hidden="false" customHeight="true" outlineLevel="0" collapsed="false">
      <c r="B48" s="25"/>
      <c r="S48" s="27"/>
      <c r="T48" s="20" t="n">
        <f aca="false">D48+F48+H48+J48+L48+N48+P48+R48</f>
        <v>0</v>
      </c>
    </row>
    <row r="49" customFormat="false" ht="15" hidden="false" customHeight="true" outlineLevel="0" collapsed="false">
      <c r="B49" s="25"/>
      <c r="S49" s="27"/>
      <c r="T49" s="20" t="n">
        <f aca="false">D49+F49+H49+J49+L49+N49+P49+R49</f>
        <v>0</v>
      </c>
    </row>
    <row r="50" customFormat="false" ht="15" hidden="false" customHeight="true" outlineLevel="0" collapsed="false">
      <c r="B50" s="25"/>
      <c r="S50" s="27"/>
      <c r="T50" s="20" t="n">
        <f aca="false">D50+F50+H50+J50+L50+N50+P50+R50</f>
        <v>0</v>
      </c>
    </row>
    <row r="51" customFormat="false" ht="15" hidden="false" customHeight="true" outlineLevel="0" collapsed="false">
      <c r="B51" s="25"/>
      <c r="S51" s="27"/>
      <c r="T51" s="20" t="n">
        <f aca="false">D51+F51+H51+J51+L51+N51+P51+R51</f>
        <v>0</v>
      </c>
    </row>
    <row r="52" customFormat="false" ht="15" hidden="false" customHeight="true" outlineLevel="0" collapsed="false">
      <c r="B52" s="25"/>
      <c r="S52" s="27"/>
      <c r="T52" s="20" t="n">
        <f aca="false">D52+F52+H52+J52+L52+N52+P52+R52</f>
        <v>0</v>
      </c>
    </row>
    <row r="53" customFormat="false" ht="15" hidden="false" customHeight="true" outlineLevel="0" collapsed="false">
      <c r="B53" s="25"/>
      <c r="S53" s="27"/>
      <c r="T53" s="20" t="n">
        <f aca="false">D53+F53+H53+J53+L53+N53+P53+R53</f>
        <v>0</v>
      </c>
    </row>
    <row r="54" customFormat="false" ht="15" hidden="false" customHeight="true" outlineLevel="0" collapsed="false">
      <c r="B54" s="25"/>
      <c r="S54" s="27"/>
      <c r="T54" s="20" t="n">
        <f aca="false">D54+F54+H54+J54+L54+N54+P54+R54</f>
        <v>0</v>
      </c>
    </row>
    <row r="55" customFormat="false" ht="15" hidden="false" customHeight="true" outlineLevel="0" collapsed="false">
      <c r="B55" s="25"/>
      <c r="S55" s="27"/>
      <c r="T55" s="20" t="n">
        <f aca="false">D55+F55+H55+J55+L55+N55+P55+R55</f>
        <v>0</v>
      </c>
    </row>
    <row r="56" customFormat="false" ht="15" hidden="false" customHeight="true" outlineLevel="0" collapsed="false">
      <c r="B56" s="25"/>
      <c r="S56" s="27"/>
      <c r="T56" s="20" t="n">
        <f aca="false">D56+F56+H56+J56+L56+N56+P56+R56</f>
        <v>0</v>
      </c>
    </row>
    <row r="57" customFormat="false" ht="15" hidden="false" customHeight="true" outlineLevel="0" collapsed="false">
      <c r="B57" s="25"/>
      <c r="S57" s="27"/>
      <c r="T57" s="20" t="n">
        <f aca="false">D57+F57+H57+J57+L57+N57+P57+R57</f>
        <v>0</v>
      </c>
    </row>
    <row r="58" customFormat="false" ht="15" hidden="false" customHeight="true" outlineLevel="0" collapsed="false">
      <c r="B58" s="25"/>
      <c r="S58" s="27"/>
      <c r="T58" s="20" t="n">
        <f aca="false">D58+F58+H58+J58+L58+N58+P58+R58</f>
        <v>0</v>
      </c>
    </row>
    <row r="59" customFormat="false" ht="15" hidden="false" customHeight="true" outlineLevel="0" collapsed="false">
      <c r="B59" s="25"/>
      <c r="S59" s="27"/>
      <c r="T59" s="20" t="n">
        <f aca="false">D59+F59+H59+J59+L59+N59+P59+R59</f>
        <v>0</v>
      </c>
    </row>
    <row r="60" customFormat="false" ht="15" hidden="false" customHeight="true" outlineLevel="0" collapsed="false">
      <c r="B60" s="25"/>
      <c r="S60" s="27"/>
      <c r="T60" s="20" t="n">
        <f aca="false">D60+F60+H60+J60+L60+N60+P60+R60</f>
        <v>0</v>
      </c>
    </row>
    <row r="61" customFormat="false" ht="15" hidden="false" customHeight="true" outlineLevel="0" collapsed="false">
      <c r="B61" s="25"/>
      <c r="S61" s="27"/>
      <c r="T61" s="20" t="n">
        <f aca="false">D61+F61+H61+J61+L61+N61+P61+R61</f>
        <v>0</v>
      </c>
    </row>
    <row r="62" customFormat="false" ht="15" hidden="false" customHeight="true" outlineLevel="0" collapsed="false">
      <c r="B62" s="25"/>
      <c r="S62" s="27"/>
      <c r="T62" s="20" t="n">
        <f aca="false">D62+F62+H62+J62+L62+N62+P62+R62</f>
        <v>0</v>
      </c>
    </row>
    <row r="63" customFormat="false" ht="15" hidden="false" customHeight="true" outlineLevel="0" collapsed="false">
      <c r="B63" s="25"/>
      <c r="S63" s="27"/>
      <c r="T63" s="20" t="n">
        <f aca="false">D63+F63+H63+J63+L63+N63+P63+R63</f>
        <v>0</v>
      </c>
    </row>
    <row r="64" customFormat="false" ht="15" hidden="false" customHeight="true" outlineLevel="0" collapsed="false">
      <c r="B64" s="25"/>
      <c r="S64" s="27"/>
      <c r="T64" s="20" t="n">
        <f aca="false">D64+F64+H64+J64+L64+N64+P64+R64</f>
        <v>0</v>
      </c>
    </row>
    <row r="65" customFormat="false" ht="15" hidden="false" customHeight="true" outlineLevel="0" collapsed="false">
      <c r="B65" s="25"/>
      <c r="S65" s="27"/>
      <c r="T65" s="20" t="n">
        <f aca="false">D65+F65+H65+J65+L65+N65+P65+R65</f>
        <v>0</v>
      </c>
    </row>
    <row r="66" customFormat="false" ht="15" hidden="false" customHeight="true" outlineLevel="0" collapsed="false">
      <c r="B66" s="25"/>
      <c r="S66" s="27"/>
      <c r="T66" s="20" t="n">
        <f aca="false">D66+F66+H66+J66+L66+N66+P66+R66</f>
        <v>0</v>
      </c>
    </row>
    <row r="67" customFormat="false" ht="15" hidden="false" customHeight="true" outlineLevel="0" collapsed="false">
      <c r="B67" s="25"/>
      <c r="S67" s="27"/>
      <c r="T67" s="20" t="n">
        <f aca="false">D67+F67+H67+J67+L67+N67+P67+R67</f>
        <v>0</v>
      </c>
    </row>
    <row r="68" customFormat="false" ht="15" hidden="false" customHeight="true" outlineLevel="0" collapsed="false">
      <c r="B68" s="25"/>
      <c r="S68" s="27"/>
      <c r="T68" s="20" t="n">
        <f aca="false">D68+F68+H68+J68+L68+N68+P68+R68</f>
        <v>0</v>
      </c>
    </row>
    <row r="69" customFormat="false" ht="15" hidden="false" customHeight="true" outlineLevel="0" collapsed="false">
      <c r="B69" s="25"/>
      <c r="S69" s="27"/>
      <c r="T69" s="20" t="n">
        <f aca="false">D69+F69+H69+J69+L69+N69+P69+R69</f>
        <v>0</v>
      </c>
    </row>
    <row r="70" customFormat="false" ht="15" hidden="false" customHeight="true" outlineLevel="0" collapsed="false">
      <c r="B70" s="25"/>
      <c r="S70" s="27"/>
      <c r="T70" s="20" t="n">
        <f aca="false">D70+F70+H70+J70+L70+N70+P70+R70</f>
        <v>0</v>
      </c>
    </row>
    <row r="71" customFormat="false" ht="15" hidden="false" customHeight="true" outlineLevel="0" collapsed="false">
      <c r="B71" s="25"/>
      <c r="S71" s="27"/>
      <c r="T71" s="20" t="n">
        <f aca="false">D71+F71+H71+J71+L71+N71+P71+R71</f>
        <v>0</v>
      </c>
    </row>
    <row r="72" customFormat="false" ht="15" hidden="false" customHeight="true" outlineLevel="0" collapsed="false">
      <c r="B72" s="25"/>
      <c r="S72" s="27"/>
      <c r="T72" s="20" t="n">
        <f aca="false">D72+F72+H72+J72+L72+N72+P72+R72</f>
        <v>0</v>
      </c>
    </row>
    <row r="73" customFormat="false" ht="15" hidden="false" customHeight="true" outlineLevel="0" collapsed="false">
      <c r="B73" s="25"/>
      <c r="S73" s="27"/>
      <c r="T73" s="20" t="n">
        <f aca="false">D73+F73+H73+J73+L73+N73+P73+R73</f>
        <v>0</v>
      </c>
    </row>
    <row r="74" customFormat="false" ht="15" hidden="false" customHeight="true" outlineLevel="0" collapsed="false">
      <c r="B74" s="25"/>
      <c r="S74" s="27"/>
      <c r="T74" s="20" t="n">
        <f aca="false">D74+F74+H74+J74+L74+N74+P74+R74</f>
        <v>0</v>
      </c>
    </row>
    <row r="75" customFormat="false" ht="15" hidden="false" customHeight="true" outlineLevel="0" collapsed="false">
      <c r="B75" s="25"/>
      <c r="S75" s="27"/>
      <c r="T75" s="20" t="n">
        <f aca="false">D75+F75+H75+J75+L75+N75+P75+R75</f>
        <v>0</v>
      </c>
    </row>
    <row r="76" customFormat="false" ht="15" hidden="false" customHeight="true" outlineLevel="0" collapsed="false">
      <c r="B76" s="25"/>
      <c r="S76" s="27"/>
      <c r="T76" s="20" t="n">
        <f aca="false">D76+F76+H76+J76+L76+N76+P76+R76</f>
        <v>0</v>
      </c>
    </row>
    <row r="77" customFormat="false" ht="15" hidden="false" customHeight="true" outlineLevel="0" collapsed="false">
      <c r="B77" s="25"/>
      <c r="S77" s="27"/>
      <c r="T77" s="20" t="n">
        <f aca="false">D77+F77+H77+J77+L77+N77+P77+R77</f>
        <v>0</v>
      </c>
    </row>
    <row r="78" customFormat="false" ht="15" hidden="false" customHeight="true" outlineLevel="0" collapsed="false">
      <c r="B78" s="25"/>
      <c r="S78" s="27"/>
      <c r="T78" s="20" t="n">
        <f aca="false">D78+F78+H78+J78+L78+N78+P78+R78</f>
        <v>0</v>
      </c>
    </row>
    <row r="79" customFormat="false" ht="15" hidden="false" customHeight="true" outlineLevel="0" collapsed="false">
      <c r="B79" s="25"/>
      <c r="S79" s="27"/>
      <c r="T79" s="20" t="n">
        <f aca="false">D79+F79+H79+J79+L79+N79+P79+R79</f>
        <v>0</v>
      </c>
    </row>
    <row r="80" customFormat="false" ht="15" hidden="false" customHeight="true" outlineLevel="0" collapsed="false">
      <c r="B80" s="25"/>
      <c r="S80" s="27"/>
      <c r="T80" s="20" t="n">
        <f aca="false">D80+F80+H80+J80+L80+N80+P80+R80</f>
        <v>0</v>
      </c>
    </row>
    <row r="81" customFormat="false" ht="15" hidden="false" customHeight="true" outlineLevel="0" collapsed="false">
      <c r="B81" s="25"/>
      <c r="S81" s="27"/>
      <c r="T81" s="20" t="n">
        <f aca="false">D81+F81+H81+J81+L81+N81+P81+R81</f>
        <v>0</v>
      </c>
    </row>
    <row r="82" customFormat="false" ht="15" hidden="false" customHeight="true" outlineLevel="0" collapsed="false">
      <c r="B82" s="25"/>
      <c r="S82" s="27"/>
      <c r="T82" s="20" t="n">
        <f aca="false">D82+F82+H82+J82+L82+N82+P82+R82</f>
        <v>0</v>
      </c>
    </row>
    <row r="83" customFormat="false" ht="15" hidden="false" customHeight="true" outlineLevel="0" collapsed="false">
      <c r="B83" s="25"/>
      <c r="S83" s="27"/>
      <c r="T83" s="20" t="n">
        <f aca="false">D83+F83+H83+J83+L83+N83+P83+R83</f>
        <v>0</v>
      </c>
    </row>
    <row r="84" customFormat="false" ht="15" hidden="false" customHeight="true" outlineLevel="0" collapsed="false">
      <c r="B84" s="25"/>
      <c r="S84" s="27"/>
      <c r="T84" s="20" t="n">
        <f aca="false">D84+F84+H84+J84+L84+N84+P84+R84</f>
        <v>0</v>
      </c>
    </row>
    <row r="85" customFormat="false" ht="15" hidden="false" customHeight="true" outlineLevel="0" collapsed="false">
      <c r="B85" s="25"/>
      <c r="S85" s="27"/>
      <c r="T85" s="20" t="n">
        <f aca="false">D85+F85+H85+J85+L85+N85+P85+R85</f>
        <v>0</v>
      </c>
    </row>
    <row r="86" customFormat="false" ht="15" hidden="false" customHeight="true" outlineLevel="0" collapsed="false">
      <c r="B86" s="25"/>
      <c r="S86" s="27"/>
      <c r="T86" s="20" t="n">
        <f aca="false">D86+F86+H86+J86+L86+N86+P86+R86</f>
        <v>0</v>
      </c>
    </row>
    <row r="87" customFormat="false" ht="15" hidden="false" customHeight="true" outlineLevel="0" collapsed="false">
      <c r="B87" s="25"/>
      <c r="S87" s="27"/>
      <c r="T87" s="20" t="n">
        <f aca="false">D87+F87+H87+J87+L87+N87+P87+R87</f>
        <v>0</v>
      </c>
    </row>
    <row r="88" customFormat="false" ht="15" hidden="false" customHeight="true" outlineLevel="0" collapsed="false">
      <c r="B88" s="25"/>
      <c r="S88" s="27"/>
      <c r="T88" s="20" t="n">
        <f aca="false">D88+F88+H88+J88+L88+N88+P88+R88</f>
        <v>0</v>
      </c>
    </row>
  </sheetData>
  <conditionalFormatting sqref="B1:B88 T1:T88">
    <cfRule type="cellIs" priority="2" operator="lessThanOrEqual" aboveAverage="0" equalAverage="0" bottom="0" percent="0" rank="0" text="" dxfId="0">
      <formula>120</formula>
    </cfRule>
    <cfRule type="cellIs" priority="3" operator="lessThanOrEqual" aboveAverage="0" equalAverage="0" bottom="0" percent="0" rank="0" text="" dxfId="1">
      <formula>180</formula>
    </cfRule>
    <cfRule type="cellIs" priority="4" operator="greaterThan" aboveAverage="0" equalAverage="0" bottom="0" percent="0" rank="0" text="" dxfId="2">
      <formula>300</formula>
    </cfRule>
  </conditionalFormatting>
  <conditionalFormatting sqref="C2:Q88">
    <cfRule type="containsText" priority="5" operator="containsText" aboveAverage="0" equalAverage="0" bottom="0" percent="0" rank="0" text="#" dxfId="3">
      <formula>NOT(ISERROR(SEARCH("#",C2)))</formula>
    </cfRule>
  </conditionalFormatting>
  <conditionalFormatting sqref="A1:R88">
    <cfRule type="expression" priority="6" aboveAverage="0" equalAverage="0" bottom="0" percent="0" rank="0" text="" dxfId="2">
      <formula>AND(A1&lt;&gt;"",OR(IFERROR(FIND(".",A1),0),IFERROR(FIND(",",A1),0),IFERROR(FIND("'",A1),0),IFERROR(FIND("-",A1),0)))</formula>
    </cfRule>
  </conditionalFormatting>
  <conditionalFormatting sqref="C1:C88 E1:E88 G1:G88 I1:I88 K1:K88 M1:M88 O1:O88">
    <cfRule type="expression" priority="7" aboveAverage="0" equalAverage="0" bottom="0" percent="0" rank="0" text="" dxfId="2">
      <formula>OR(AND(C1="",E1&lt;&gt;""),AND(C1="",D1&lt;&gt;""))</formula>
    </cfRule>
  </conditionalFormatting>
  <conditionalFormatting sqref="C2:C88 E2:E88 G2:G88 I2:I88 K2:K88 M2:M88 O2:O88 Q2:Q88">
    <cfRule type="expression" priority="8" aboveAverage="0" equalAverage="0" bottom="0" percent="0" rank="0" text="" dxfId="4">
      <formula>AND(C2&lt;&gt;"",IFERROR(VLOOKUP(C2,INDIRECT("Fluids!$A$2:$A$30"),1,0)="",1))</formula>
    </cfRule>
  </conditionalFormatting>
  <dataValidations count="1">
    <dataValidation allowBlank="true" errorStyle="stop" operator="between" prompt="Only add drinks set up in the FLUID tab" showDropDown="false" showErrorMessage="false" showInputMessage="true" sqref="C2:C88 E2:E88 G2:G88 I2:I88 K2:K88 M2:M88 O2:O88 Q2:Q88" type="list">
      <formula1>Fluids!$A$2:$A$17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W9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4" activeCellId="0" sqref="C4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20" width="16"/>
    <col collapsed="false" customWidth="true" hidden="false" outlineLevel="0" max="2" min="2" style="20" width="4.75"/>
    <col collapsed="false" customWidth="true" hidden="false" outlineLevel="0" max="3" min="3" style="20" width="21.75"/>
    <col collapsed="false" customWidth="false" hidden="false" outlineLevel="0" max="5" min="4" style="19" width="12.63"/>
    <col collapsed="false" customWidth="true" hidden="false" outlineLevel="0" max="6" min="6" style="20" width="10.13"/>
    <col collapsed="false" customWidth="true" hidden="false" outlineLevel="0" max="7" min="7" style="20" width="16.25"/>
    <col collapsed="false" customWidth="true" hidden="false" outlineLevel="0" max="8" min="8" style="20" width="23.63"/>
    <col collapsed="false" customWidth="false" hidden="false" outlineLevel="0" max="16384" min="9" style="19" width="12.63"/>
  </cols>
  <sheetData>
    <row r="1" customFormat="false" ht="17.25" hidden="false" customHeight="true" outlineLevel="0" collapsed="false">
      <c r="A1" s="2" t="s">
        <v>312</v>
      </c>
      <c r="B1" s="28" t="str">
        <f aca="false">"/*
  Written by JelleWho
  This file stores all data about all the types of drinks
*/
//Ingredients can NOT have a ""."" or "","" or ""-"" in them!"&amp;CHAR(10)&amp;
D1&amp;CHAR(13)&amp;E1</f>
        <v>/*
  Written by JelleWho
  This file stores all data about all the types of drinks
*/
//Ingredients can NOT have a "." or "," or "-" in them!
enum IngredientE {UNK, TRIPLE_SEC, GIN, LIME_JUICE, LEMON_JUICE, LEMONADE, CRANBERRY_JUICE, VODKA, PEACH_TREE, WHITE_RUM, DARK_RUM, TEQUILA, GRENADINE_SYRUP, COLA, SPRITE, ORANGE_JUICE, PINEAPPLE_JUICE};String IngredientS[] = {"UNK", "TRIPLE_SEC", "GIN", "LIME_JUICE", "LEMON_JUICE", "LEMONADE", "CRANBERRY_JUICE", "VODKA", "PEACH_TREE", "WHITE_RUM", "DARK_RUM", "TEQUILA", "GRENADINE_SYRUP", "COLA", "SPRITE", "ORANGE_JUICE", "PINEAPPLE_JUICE"};</v>
      </c>
      <c r="C1" s="29" t="s">
        <v>313</v>
      </c>
      <c r="D1" s="29" t="str">
        <f aca="false">"enum IngredientE {UNK, " &amp;D2 &amp; "};"</f>
        <v>enum IngredientE {UNK, TRIPLE_SEC, GIN, LIME_JUICE, LEMON_JUICE, LEMONADE, CRANBERRY_JUICE, VODKA, PEACH_TREE, WHITE_RUM, DARK_RUM, TEQUILA, GRENADINE_SYRUP, COLA, SPRITE, ORANGE_JUICE, PINEAPPLE_JUICE};</v>
      </c>
      <c r="E1" s="29" t="str">
        <f aca="false">"String IngredientS[] = {""UNK"", "&amp;E2&amp;"};"</f>
        <v>String IngredientS[] = {"UNK", "TRIPLE_SEC", "GIN", "LIME_JUICE", "LEMON_JUICE", "LEMONADE", "CRANBERRY_JUICE", "VODKA", "PEACH_TREE", "WHITE_RUM", "DARK_RUM", "TEQUILA", "GRENADINE_SYRUP", "COLA", "SPRITE", "ORANGE_JUICE", "PINEAPPLE_JUICE"};</v>
      </c>
      <c r="F1" s="29" t="s">
        <v>314</v>
      </c>
      <c r="G1" s="29" t="str">
        <f aca="false">COUNTIF(G2:G17, "PUMP")&amp;"xPUMP "&amp;COUNTIF(G2:G17, "SHOT")&amp;"xSHOT"</f>
        <v>4xPUMP 12xSHOT</v>
      </c>
      <c r="H1" s="29"/>
      <c r="I1" s="30" t="s">
        <v>315</v>
      </c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</row>
    <row r="2" customFormat="false" ht="15.75" hidden="false" customHeight="false" outlineLevel="0" collapsed="false">
      <c r="A2" s="31" t="s">
        <v>235</v>
      </c>
      <c r="B2" s="20" t="n">
        <v>1</v>
      </c>
      <c r="C2" s="20" t="str">
        <f aca="false">IF(OR(A2="",A2="."),"",UPPER(SUBSTITUTE(SUBSTITUTE(SUBSTITUTE(SUBSTITUTE(SUBSTITUTE(A2, "'", ""), ",", "_"), ".", "_"), "-", "_")," ", "_")))</f>
        <v>TRIPLE_SEC</v>
      </c>
      <c r="D2" s="20" t="str">
        <f aca="false">IF(OR(A2="",A2="."),D3,IF(ROW(A2)&gt;2,", ","")&amp;C2&amp;D3)</f>
        <v>TRIPLE_SEC, GIN, LIME_JUICE, LEMON_JUICE, LEMONADE, CRANBERRY_JUICE, VODKA, PEACH_TREE, WHITE_RUM, DARK_RUM, TEQUILA, GRENADINE_SYRUP, COLA, SPRITE, ORANGE_JUICE, PINEAPPLE_JUICE</v>
      </c>
      <c r="E2" s="20" t="str">
        <f aca="false">IF(OR(A2="",A2="."),E3,IF(ROW(A2)&gt;2,", ","")&amp;""""&amp;C2&amp;""""&amp;E3)</f>
        <v>"TRIPLE_SEC", "GIN", "LIME_JUICE", "LEMON_JUICE", "LEMONADE", "CRANBERRY_JUICE", "VODKA", "PEACH_TREE", "WHITE_RUM", "DARK_RUM", "TEQUILA", "GRENADINE_SYRUP", "COLA", "SPRITE", "ORANGE_JUICE", "PINEAPPLE_JUICE"</v>
      </c>
      <c r="F2" s="20" t="n">
        <f aca="false">COUNTIF(Drinks!C2:Q88, A2)</f>
        <v>11</v>
      </c>
      <c r="G2" s="26" t="s">
        <v>316</v>
      </c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</row>
    <row r="3" customFormat="false" ht="15.75" hidden="false" customHeight="false" outlineLevel="0" collapsed="false">
      <c r="A3" s="31" t="s">
        <v>246</v>
      </c>
      <c r="B3" s="20" t="n">
        <f aca="false">B2+1</f>
        <v>2</v>
      </c>
      <c r="C3" s="20" t="str">
        <f aca="false">IF(OR(A3="",A3="."),"",UPPER(SUBSTITUTE(SUBSTITUTE(SUBSTITUTE(SUBSTITUTE(SUBSTITUTE(A3, "'", ""), ",", "_"), ".", "_"), "-", "_")," ", "_")))</f>
        <v>GIN</v>
      </c>
      <c r="D3" s="20" t="str">
        <f aca="false">IF(OR(A3="",A3="."),D4,IF(ROW(A3)&gt;2,", ","")&amp;C3&amp;D4)</f>
        <v>, GIN, LIME_JUICE, LEMON_JUICE, LEMONADE, CRANBERRY_JUICE, VODKA, PEACH_TREE, WHITE_RUM, DARK_RUM, TEQUILA, GRENADINE_SYRUP, COLA, SPRITE, ORANGE_JUICE, PINEAPPLE_JUICE</v>
      </c>
      <c r="E3" s="20" t="str">
        <f aca="false">IF(OR(A3="",A3="."),E4,IF(ROW(A3)&gt;2,", ","")&amp;""""&amp;C3&amp;""""&amp;E4)</f>
        <v>, "GIN", "LIME_JUICE", "LEMON_JUICE", "LEMONADE", "CRANBERRY_JUICE", "VODKA", "PEACH_TREE", "WHITE_RUM", "DARK_RUM", "TEQUILA", "GRENADINE_SYRUP", "COLA", "SPRITE", "ORANGE_JUICE", "PINEAPPLE_JUICE"</v>
      </c>
      <c r="F3" s="20" t="n">
        <f aca="false">COUNTIF(Drinks!C3:Q89, A3)</f>
        <v>14</v>
      </c>
      <c r="G3" s="26" t="s">
        <v>316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</row>
    <row r="4" customFormat="false" ht="15.75" hidden="false" customHeight="false" outlineLevel="0" collapsed="false">
      <c r="A4" s="31" t="s">
        <v>236</v>
      </c>
      <c r="B4" s="20" t="n">
        <f aca="false">B3+1</f>
        <v>3</v>
      </c>
      <c r="C4" s="20" t="str">
        <f aca="false">IF(OR(A4="",A4="."),"",UPPER(SUBSTITUTE(SUBSTITUTE(SUBSTITUTE(SUBSTITUTE(SUBSTITUTE(A4, "'", ""), ",", "_"), ".", "_"), "-", "_")," ", "_")))</f>
        <v>LIME_JUICE</v>
      </c>
      <c r="D4" s="20" t="str">
        <f aca="false">IF(OR(A4="",A4="."),D5,IF(ROW(A4)&gt;2,", ","")&amp;C4&amp;D5)</f>
        <v>, LIME_JUICE, LEMON_JUICE, LEMONADE, CRANBERRY_JUICE, VODKA, PEACH_TREE, WHITE_RUM, DARK_RUM, TEQUILA, GRENADINE_SYRUP, COLA, SPRITE, ORANGE_JUICE, PINEAPPLE_JUICE</v>
      </c>
      <c r="E4" s="20" t="str">
        <f aca="false">IF(OR(A4="",A4="."),E5,IF(ROW(A4)&gt;2,", ","")&amp;""""&amp;C4&amp;""""&amp;E5)</f>
        <v>, "LIME_JUICE", "LEMON_JUICE", "LEMONADE", "CRANBERRY_JUICE", "VODKA", "PEACH_TREE", "WHITE_RUM", "DARK_RUM", "TEQUILA", "GRENADINE_SYRUP", "COLA", "SPRITE", "ORANGE_JUICE", "PINEAPPLE_JUICE"</v>
      </c>
      <c r="F4" s="20" t="n">
        <f aca="false">COUNTIF(Drinks!C4:Q90, A4)</f>
        <v>10</v>
      </c>
      <c r="G4" s="26" t="s">
        <v>316</v>
      </c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</row>
    <row r="5" customFormat="false" ht="15.75" hidden="false" customHeight="false" outlineLevel="0" collapsed="false">
      <c r="A5" s="31" t="s">
        <v>253</v>
      </c>
      <c r="B5" s="20" t="n">
        <f aca="false">B4+1</f>
        <v>4</v>
      </c>
      <c r="C5" s="20" t="str">
        <f aca="false">IF(OR(A5="",A5="."),"",UPPER(SUBSTITUTE(SUBSTITUTE(SUBSTITUTE(SUBSTITUTE(SUBSTITUTE(A5, "'", ""), ",", "_"), ".", "_"), "-", "_")," ", "_")))</f>
        <v>LEMON_JUICE</v>
      </c>
      <c r="D5" s="20" t="str">
        <f aca="false">IF(OR(A5="",A5="."),D6,IF(ROW(A5)&gt;2,", ","")&amp;C5&amp;D6)</f>
        <v>, LEMON_JUICE, LEMONADE, CRANBERRY_JUICE, VODKA, PEACH_TREE, WHITE_RUM, DARK_RUM, TEQUILA, GRENADINE_SYRUP, COLA, SPRITE, ORANGE_JUICE, PINEAPPLE_JUICE</v>
      </c>
      <c r="E5" s="20" t="str">
        <f aca="false">IF(OR(A5="",A5="."),E6,IF(ROW(A5)&gt;2,", ","")&amp;""""&amp;C5&amp;""""&amp;E6)</f>
        <v>, "LEMON_JUICE", "LEMONADE", "CRANBERRY_JUICE", "VODKA", "PEACH_TREE", "WHITE_RUM", "DARK_RUM", "TEQUILA", "GRENADINE_SYRUP", "COLA", "SPRITE", "ORANGE_JUICE", "PINEAPPLE_JUICE"</v>
      </c>
      <c r="F5" s="20" t="n">
        <f aca="false">COUNTIF(Drinks!C5:Q91, A5)</f>
        <v>7</v>
      </c>
      <c r="G5" s="26" t="s">
        <v>316</v>
      </c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</row>
    <row r="6" customFormat="false" ht="15.75" hidden="false" customHeight="false" outlineLevel="0" collapsed="false">
      <c r="A6" s="31" t="s">
        <v>249</v>
      </c>
      <c r="B6" s="20" t="n">
        <f aca="false">B5+1</f>
        <v>5</v>
      </c>
      <c r="C6" s="20" t="str">
        <f aca="false">IF(OR(A6="",A6="."),"",UPPER(SUBSTITUTE(SUBSTITUTE(SUBSTITUTE(SUBSTITUTE(SUBSTITUTE(A6, "'", ""), ",", "_"), ".", "_"), "-", "_")," ", "_")))</f>
        <v>LEMONADE</v>
      </c>
      <c r="D6" s="20" t="str">
        <f aca="false">IF(OR(A6="",A6="."),D7,IF(ROW(A6)&gt;2,", ","")&amp;C6&amp;D7)</f>
        <v>, LEMONADE, CRANBERRY_JUICE, VODKA, PEACH_TREE, WHITE_RUM, DARK_RUM, TEQUILA, GRENADINE_SYRUP, COLA, SPRITE, ORANGE_JUICE, PINEAPPLE_JUICE</v>
      </c>
      <c r="E6" s="20" t="str">
        <f aca="false">IF(OR(A6="",A6="."),E7,IF(ROW(A6)&gt;2,", ","")&amp;""""&amp;C6&amp;""""&amp;E7)</f>
        <v>, "LEMONADE", "CRANBERRY_JUICE", "VODKA", "PEACH_TREE", "WHITE_RUM", "DARK_RUM", "TEQUILA", "GRENADINE_SYRUP", "COLA", "SPRITE", "ORANGE_JUICE", "PINEAPPLE_JUICE"</v>
      </c>
      <c r="F6" s="20" t="n">
        <f aca="false">COUNTIF(Drinks!C6:Q92, A6)</f>
        <v>3</v>
      </c>
      <c r="G6" s="26" t="s">
        <v>316</v>
      </c>
      <c r="H6" s="20" t="s">
        <v>317</v>
      </c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</row>
    <row r="7" customFormat="false" ht="15.75" hidden="false" customHeight="false" outlineLevel="0" collapsed="false">
      <c r="A7" s="31" t="s">
        <v>226</v>
      </c>
      <c r="B7" s="20" t="n">
        <f aca="false">B6+1</f>
        <v>6</v>
      </c>
      <c r="C7" s="20" t="str">
        <f aca="false">IF(OR(A7="",A7="."),"",UPPER(SUBSTITUTE(SUBSTITUTE(SUBSTITUTE(SUBSTITUTE(SUBSTITUTE(A7, "'", ""), ",", "_"), ".", "_"), "-", "_")," ", "_")))</f>
        <v>CRANBERRY_JUICE</v>
      </c>
      <c r="D7" s="20" t="str">
        <f aca="false">IF(OR(A7="",A7="."),D8,IF(ROW(A7)&gt;2,", ","")&amp;C7&amp;D8)</f>
        <v>, CRANBERRY_JUICE, VODKA, PEACH_TREE, WHITE_RUM, DARK_RUM, TEQUILA, GRENADINE_SYRUP, COLA, SPRITE, ORANGE_JUICE, PINEAPPLE_JUICE</v>
      </c>
      <c r="E7" s="20" t="str">
        <f aca="false">IF(OR(A7="",A7="."),E8,IF(ROW(A7)&gt;2,", ","")&amp;""""&amp;C7&amp;""""&amp;E8)</f>
        <v>, "CRANBERRY_JUICE", "VODKA", "PEACH_TREE", "WHITE_RUM", "DARK_RUM", "TEQUILA", "GRENADINE_SYRUP", "COLA", "SPRITE", "ORANGE_JUICE", "PINEAPPLE_JUICE"</v>
      </c>
      <c r="F7" s="20" t="n">
        <f aca="false">COUNTIF(Drinks!C7:Q93, A7)</f>
        <v>12</v>
      </c>
      <c r="G7" s="26" t="s">
        <v>316</v>
      </c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</row>
    <row r="8" customFormat="false" ht="15.75" hidden="false" customHeight="false" outlineLevel="0" collapsed="false">
      <c r="A8" s="31" t="s">
        <v>222</v>
      </c>
      <c r="B8" s="20" t="n">
        <f aca="false">B7+1</f>
        <v>7</v>
      </c>
      <c r="C8" s="20" t="str">
        <f aca="false">IF(OR(A8="",A8="."),"",UPPER(SUBSTITUTE(SUBSTITUTE(SUBSTITUTE(SUBSTITUTE(SUBSTITUTE(A8, "'", ""), ",", "_"), ".", "_"), "-", "_")," ", "_")))</f>
        <v>VODKA</v>
      </c>
      <c r="D8" s="20" t="str">
        <f aca="false">IF(OR(A8="",A8="."),D9,IF(ROW(A8)&gt;2,", ","")&amp;C8&amp;D9)</f>
        <v>, VODKA, PEACH_TREE, WHITE_RUM, DARK_RUM, TEQUILA, GRENADINE_SYRUP, COLA, SPRITE, ORANGE_JUICE, PINEAPPLE_JUICE</v>
      </c>
      <c r="E8" s="20" t="str">
        <f aca="false">IF(OR(A8="",A8="."),E9,IF(ROW(A8)&gt;2,", ","")&amp;""""&amp;C8&amp;""""&amp;E9)</f>
        <v>, "VODKA", "PEACH_TREE", "WHITE_RUM", "DARK_RUM", "TEQUILA", "GRENADINE_SYRUP", "COLA", "SPRITE", "ORANGE_JUICE", "PINEAPPLE_JUICE"</v>
      </c>
      <c r="F8" s="20" t="n">
        <f aca="false">COUNTIF(Drinks!C8:Q94, A8)</f>
        <v>24</v>
      </c>
      <c r="G8" s="26" t="s">
        <v>316</v>
      </c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</row>
    <row r="9" customFormat="false" ht="15.75" hidden="false" customHeight="false" outlineLevel="0" collapsed="false">
      <c r="A9" s="31" t="s">
        <v>223</v>
      </c>
      <c r="B9" s="20" t="n">
        <f aca="false">B8+1</f>
        <v>8</v>
      </c>
      <c r="C9" s="20" t="str">
        <f aca="false">IF(OR(A9="",A9="."),"",UPPER(SUBSTITUTE(SUBSTITUTE(SUBSTITUTE(SUBSTITUTE(SUBSTITUTE(A9, "'", ""), ",", "_"), ".", "_"), "-", "_")," ", "_")))</f>
        <v>PEACH_TREE</v>
      </c>
      <c r="D9" s="20" t="str">
        <f aca="false">IF(OR(A9="",A9="."),D10,IF(ROW(A9)&gt;2,", ","")&amp;C9&amp;D10)</f>
        <v>, PEACH_TREE, WHITE_RUM, DARK_RUM, TEQUILA, GRENADINE_SYRUP, COLA, SPRITE, ORANGE_JUICE, PINEAPPLE_JUICE</v>
      </c>
      <c r="E9" s="20" t="str">
        <f aca="false">IF(OR(A9="",A9="."),E10,IF(ROW(A9)&gt;2,", ","")&amp;""""&amp;C9&amp;""""&amp;E10)</f>
        <v>, "PEACH_TREE", "WHITE_RUM", "DARK_RUM", "TEQUILA", "GRENADINE_SYRUP", "COLA", "SPRITE", "ORANGE_JUICE", "PINEAPPLE_JUICE"</v>
      </c>
      <c r="F9" s="20" t="n">
        <f aca="false">COUNTIF(Drinks!C9:Q95, A9)</f>
        <v>3</v>
      </c>
      <c r="G9" s="26" t="s">
        <v>316</v>
      </c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</row>
    <row r="10" customFormat="false" ht="15.75" hidden="false" customHeight="false" outlineLevel="0" collapsed="false">
      <c r="A10" s="31" t="s">
        <v>256</v>
      </c>
      <c r="B10" s="20" t="n">
        <f aca="false">B9+1</f>
        <v>9</v>
      </c>
      <c r="C10" s="20" t="str">
        <f aca="false">IF(OR(A10="",A10="."),"",UPPER(SUBSTITUTE(SUBSTITUTE(SUBSTITUTE(SUBSTITUTE(SUBSTITUTE(A10, "'", ""), ",", "_"), ".", "_"), "-", "_")," ", "_")))</f>
        <v>WHITE_RUM</v>
      </c>
      <c r="D10" s="20" t="str">
        <f aca="false">IF(OR(A10="",A10="."),D11,IF(ROW(A10)&gt;2,", ","")&amp;C10&amp;D11)</f>
        <v>, WHITE_RUM, DARK_RUM, TEQUILA, GRENADINE_SYRUP, COLA, SPRITE, ORANGE_JUICE, PINEAPPLE_JUICE</v>
      </c>
      <c r="E10" s="20" t="str">
        <f aca="false">IF(OR(A10="",A10="."),E11,IF(ROW(A10)&gt;2,", ","")&amp;""""&amp;C10&amp;""""&amp;E11)</f>
        <v>, "WHITE_RUM", "DARK_RUM", "TEQUILA", "GRENADINE_SYRUP", "COLA", "SPRITE", "ORANGE_JUICE", "PINEAPPLE_JUICE"</v>
      </c>
      <c r="F10" s="20" t="n">
        <f aca="false">COUNTIF(Drinks!C10:Q96, A10)</f>
        <v>6</v>
      </c>
      <c r="G10" s="26" t="s">
        <v>316</v>
      </c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</row>
    <row r="11" customFormat="false" ht="15.75" hidden="false" customHeight="false" outlineLevel="0" collapsed="false">
      <c r="A11" s="31" t="s">
        <v>263</v>
      </c>
      <c r="B11" s="20" t="n">
        <f aca="false">B10+1</f>
        <v>10</v>
      </c>
      <c r="C11" s="20" t="str">
        <f aca="false">IF(OR(A11="",A11="."),"",UPPER(SUBSTITUTE(SUBSTITUTE(SUBSTITUTE(SUBSTITUTE(SUBSTITUTE(A11, "'", ""), ",", "_"), ".", "_"), "-", "_")," ", "_")))</f>
        <v>DARK_RUM</v>
      </c>
      <c r="D11" s="20" t="str">
        <f aca="false">IF(OR(A11="",A11="."),D12,IF(ROW(A11)&gt;2,", ","")&amp;C11&amp;D12)</f>
        <v>, DARK_RUM, TEQUILA, GRENADINE_SYRUP, COLA, SPRITE, ORANGE_JUICE, PINEAPPLE_JUICE</v>
      </c>
      <c r="E11" s="20" t="str">
        <f aca="false">IF(OR(A11="",A11="."),E12,IF(ROW(A11)&gt;2,", ","")&amp;""""&amp;C11&amp;""""&amp;E12)</f>
        <v>, "DARK_RUM", "TEQUILA", "GRENADINE_SYRUP", "COLA", "SPRITE", "ORANGE_JUICE", "PINEAPPLE_JUICE"</v>
      </c>
      <c r="F11" s="20" t="n">
        <f aca="false">COUNTIF(Drinks!C11:Q97, A11)</f>
        <v>6</v>
      </c>
      <c r="G11" s="26" t="s">
        <v>316</v>
      </c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</row>
    <row r="12" customFormat="false" ht="15.75" hidden="false" customHeight="false" outlineLevel="0" collapsed="false">
      <c r="A12" s="31" t="s">
        <v>272</v>
      </c>
      <c r="B12" s="20" t="n">
        <f aca="false">B11+1</f>
        <v>11</v>
      </c>
      <c r="C12" s="20" t="str">
        <f aca="false">IF(OR(A12="",A12="."),"",UPPER(SUBSTITUTE(SUBSTITUTE(SUBSTITUTE(SUBSTITUTE(SUBSTITUTE(A12, "'", ""), ",", "_"), ".", "_"), "-", "_")," ", "_")))</f>
        <v>TEQUILA</v>
      </c>
      <c r="D12" s="20" t="str">
        <f aca="false">IF(OR(A12="",A12="."),D13,IF(ROW(A12)&gt;2,", ","")&amp;C12&amp;D13)</f>
        <v>, TEQUILA, GRENADINE_SYRUP, COLA, SPRITE, ORANGE_JUICE, PINEAPPLE_JUICE</v>
      </c>
      <c r="E12" s="20" t="str">
        <f aca="false">IF(OR(A12="",A12="."),E13,IF(ROW(A12)&gt;2,", ","")&amp;""""&amp;C12&amp;""""&amp;E13)</f>
        <v>, "TEQUILA", "GRENADINE_SYRUP", "COLA", "SPRITE", "ORANGE_JUICE", "PINEAPPLE_JUICE"</v>
      </c>
      <c r="F12" s="20" t="n">
        <f aca="false">COUNTIF(Drinks!C12:Q98, A12)</f>
        <v>7</v>
      </c>
      <c r="G12" s="26" t="s">
        <v>316</v>
      </c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</row>
    <row r="13" customFormat="false" ht="15.75" hidden="false" customHeight="false" outlineLevel="0" collapsed="false">
      <c r="A13" s="31" t="s">
        <v>277</v>
      </c>
      <c r="B13" s="20" t="n">
        <f aca="false">B12+1</f>
        <v>12</v>
      </c>
      <c r="C13" s="20" t="str">
        <f aca="false">IF(OR(A13="",A13="."),"",UPPER(SUBSTITUTE(SUBSTITUTE(SUBSTITUTE(SUBSTITUTE(SUBSTITUTE(A13, "'", ""), ",", "_"), ".", "_"), "-", "_")," ", "_")))</f>
        <v>GRENADINE_SYRUP</v>
      </c>
      <c r="D13" s="20" t="str">
        <f aca="false">IF(OR(A13="",A13="."),D14,IF(ROW(A13)&gt;2,", ","")&amp;C13&amp;D14)</f>
        <v>, GRENADINE_SYRUP, COLA, SPRITE, ORANGE_JUICE, PINEAPPLE_JUICE</v>
      </c>
      <c r="E13" s="20" t="str">
        <f aca="false">IF(OR(A13="",A13="."),E14,IF(ROW(A13)&gt;2,", ","")&amp;""""&amp;C13&amp;""""&amp;E14)</f>
        <v>, "GRENADINE_SYRUP", "COLA", "SPRITE", "ORANGE_JUICE", "PINEAPPLE_JUICE"</v>
      </c>
      <c r="F13" s="20" t="n">
        <f aca="false">COUNTIF(Drinks!C13:Q99, A13)</f>
        <v>8</v>
      </c>
      <c r="G13" s="26" t="s">
        <v>316</v>
      </c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</row>
    <row r="14" customFormat="false" ht="15.75" hidden="false" customHeight="false" outlineLevel="0" collapsed="false">
      <c r="A14" s="31" t="s">
        <v>284</v>
      </c>
      <c r="B14" s="20" t="n">
        <f aca="false">B13+1</f>
        <v>13</v>
      </c>
      <c r="C14" s="20" t="str">
        <f aca="false">IF(OR(A14="",A14="."),"",UPPER(SUBSTITUTE(SUBSTITUTE(SUBSTITUTE(SUBSTITUTE(SUBSTITUTE(A14, "'", ""), ",", "_"), ".", "_"), "-", "_")," ", "_")))</f>
        <v>COLA</v>
      </c>
      <c r="D14" s="20" t="str">
        <f aca="false">IF(OR(A14="",A14="."),D15,IF(ROW(A14)&gt;2,", ","")&amp;C14&amp;D15)</f>
        <v>, COLA, SPRITE, ORANGE_JUICE, PINEAPPLE_JUICE</v>
      </c>
      <c r="E14" s="20" t="str">
        <f aca="false">IF(OR(A14="",A14="."),E15,IF(ROW(A14)&gt;2,", ","")&amp;""""&amp;C14&amp;""""&amp;E15)</f>
        <v>, "COLA", "SPRITE", "ORANGE_JUICE", "PINEAPPLE_JUICE"</v>
      </c>
      <c r="F14" s="20" t="n">
        <f aca="false">COUNTIF(Drinks!C14:Q100, A14)</f>
        <v>4</v>
      </c>
      <c r="G14" s="32" t="s">
        <v>318</v>
      </c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</row>
    <row r="15" customFormat="false" ht="15.75" hidden="false" customHeight="false" outlineLevel="0" collapsed="false">
      <c r="A15" s="31" t="s">
        <v>306</v>
      </c>
      <c r="B15" s="20" t="n">
        <f aca="false">B14+1</f>
        <v>14</v>
      </c>
      <c r="C15" s="20" t="str">
        <f aca="false">IF(OR(A15="",A15="."),"",UPPER(SUBSTITUTE(SUBSTITUTE(SUBSTITUTE(SUBSTITUTE(SUBSTITUTE(A15, "'", ""), ",", "_"), ".", "_"), "-", "_")," ", "_")))</f>
        <v>SPRITE</v>
      </c>
      <c r="D15" s="20" t="str">
        <f aca="false">IF(OR(A15="",A15="."),D16,IF(ROW(A15)&gt;2,", ","")&amp;C15&amp;D16)</f>
        <v>, SPRITE, ORANGE_JUICE, PINEAPPLE_JUICE</v>
      </c>
      <c r="E15" s="20" t="str">
        <f aca="false">IF(OR(A15="",A15="."),E16,IF(ROW(A15)&gt;2,", ","")&amp;""""&amp;C15&amp;""""&amp;E16)</f>
        <v>, "SPRITE", "ORANGE_JUICE", "PINEAPPLE_JUICE"</v>
      </c>
      <c r="F15" s="20" t="n">
        <f aca="false">COUNTIF(Drinks!C15:Q101, A15)</f>
        <v>1</v>
      </c>
      <c r="G15" s="32" t="s">
        <v>318</v>
      </c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</row>
    <row r="16" customFormat="false" ht="15.75" hidden="false" customHeight="false" outlineLevel="0" collapsed="false">
      <c r="A16" s="31" t="s">
        <v>230</v>
      </c>
      <c r="B16" s="20" t="n">
        <f aca="false">B15+1</f>
        <v>15</v>
      </c>
      <c r="C16" s="20" t="str">
        <f aca="false">IF(OR(A16="",A16="."),"",UPPER(SUBSTITUTE(SUBSTITUTE(SUBSTITUTE(SUBSTITUTE(SUBSTITUTE(A16, "'", ""), ",", "_"), ".", "_"), "-", "_")," ", "_")))</f>
        <v>ORANGE_JUICE</v>
      </c>
      <c r="D16" s="20" t="str">
        <f aca="false">IF(OR(A16="",A16="."),D17,IF(ROW(A16)&gt;2,", ","")&amp;C16&amp;D17)</f>
        <v>, ORANGE_JUICE, PINEAPPLE_JUICE</v>
      </c>
      <c r="E16" s="20" t="str">
        <f aca="false">IF(OR(A16="",A16="."),E17,IF(ROW(A16)&gt;2,", ","")&amp;""""&amp;C16&amp;""""&amp;E17)</f>
        <v>, "ORANGE_JUICE", "PINEAPPLE_JUICE"</v>
      </c>
      <c r="F16" s="20" t="n">
        <f aca="false">COUNTIF(Drinks!C16:Q102, A16)</f>
        <v>14</v>
      </c>
      <c r="G16" s="20" t="s">
        <v>318</v>
      </c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</row>
    <row r="17" customFormat="false" ht="15.75" hidden="false" customHeight="false" outlineLevel="0" collapsed="false">
      <c r="A17" s="31" t="s">
        <v>240</v>
      </c>
      <c r="B17" s="20" t="n">
        <f aca="false">B16+1</f>
        <v>16</v>
      </c>
      <c r="C17" s="20" t="str">
        <f aca="false">IF(OR(A17="",A17="."),"",UPPER(SUBSTITUTE(SUBSTITUTE(SUBSTITUTE(SUBSTITUTE(SUBSTITUTE(A17, "'", ""), ",", "_"), ".", "_"), "-", "_")," ", "_")))</f>
        <v>PINEAPPLE_JUICE</v>
      </c>
      <c r="D17" s="20" t="str">
        <f aca="false">IF(OR(A17="",A17="."),D18,IF(ROW(A17)&gt;2,", ","")&amp;C17&amp;D18)</f>
        <v>, PINEAPPLE_JUICE</v>
      </c>
      <c r="E17" s="20" t="str">
        <f aca="false">IF(OR(A17="",A17="."),E18,IF(ROW(A17)&gt;2,", ","")&amp;""""&amp;C17&amp;""""&amp;E18)</f>
        <v>, "PINEAPPLE_JUICE"</v>
      </c>
      <c r="F17" s="20" t="n">
        <f aca="false">COUNTIF(Drinks!C17:Q103, A17)</f>
        <v>4</v>
      </c>
      <c r="G17" s="20" t="s">
        <v>318</v>
      </c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</row>
    <row r="18" customFormat="false" ht="15.75" hidden="false" customHeight="false" outlineLevel="0" collapsed="false">
      <c r="D18" s="20"/>
      <c r="E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</row>
    <row r="19" customFormat="false" ht="15.75" hidden="false" customHeight="false" outlineLevel="0" collapsed="false">
      <c r="D19" s="20"/>
      <c r="E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</row>
    <row r="20" customFormat="false" ht="15.75" hidden="false" customHeight="false" outlineLevel="0" collapsed="false">
      <c r="D20" s="20"/>
      <c r="E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</row>
    <row r="21" customFormat="false" ht="15.75" hidden="false" customHeight="false" outlineLevel="0" collapsed="false">
      <c r="D21" s="20"/>
      <c r="E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</row>
    <row r="22" customFormat="false" ht="15.75" hidden="false" customHeight="false" outlineLevel="0" collapsed="false">
      <c r="D22" s="20"/>
      <c r="E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</row>
    <row r="23" customFormat="false" ht="15.75" hidden="false" customHeight="false" outlineLevel="0" collapsed="false">
      <c r="D23" s="20"/>
      <c r="E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</row>
    <row r="24" customFormat="false" ht="15.75" hidden="false" customHeight="false" outlineLevel="0" collapsed="false">
      <c r="D24" s="20"/>
      <c r="E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</row>
    <row r="25" customFormat="false" ht="15.75" hidden="false" customHeight="false" outlineLevel="0" collapsed="false">
      <c r="D25" s="20"/>
      <c r="E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</row>
    <row r="26" customFormat="false" ht="15.75" hidden="false" customHeight="false" outlineLevel="0" collapsed="false">
      <c r="D26" s="20"/>
      <c r="E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</row>
    <row r="27" customFormat="false" ht="15.75" hidden="false" customHeight="false" outlineLevel="0" collapsed="false">
      <c r="D27" s="20"/>
      <c r="E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</row>
    <row r="28" customFormat="false" ht="15.75" hidden="false" customHeight="false" outlineLevel="0" collapsed="false">
      <c r="D28" s="20"/>
      <c r="E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</row>
    <row r="29" customFormat="false" ht="15.75" hidden="false" customHeight="false" outlineLevel="0" collapsed="false">
      <c r="D29" s="20"/>
      <c r="E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</row>
    <row r="30" customFormat="false" ht="15.75" hidden="false" customHeight="false" outlineLevel="0" collapsed="false">
      <c r="D30" s="20"/>
      <c r="E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</row>
    <row r="31" customFormat="false" ht="15.75" hidden="false" customHeight="false" outlineLevel="0" collapsed="false">
      <c r="D31" s="20"/>
      <c r="E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</row>
    <row r="32" customFormat="false" ht="15.75" hidden="false" customHeight="false" outlineLevel="0" collapsed="false">
      <c r="D32" s="20"/>
      <c r="E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</row>
    <row r="33" customFormat="false" ht="15.75" hidden="false" customHeight="false" outlineLevel="0" collapsed="false">
      <c r="D33" s="20"/>
      <c r="E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</row>
    <row r="34" customFormat="false" ht="15.75" hidden="false" customHeight="false" outlineLevel="0" collapsed="false">
      <c r="D34" s="20"/>
      <c r="E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</row>
    <row r="35" customFormat="false" ht="15.75" hidden="false" customHeight="false" outlineLevel="0" collapsed="false">
      <c r="D35" s="20"/>
      <c r="E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</row>
    <row r="36" customFormat="false" ht="15.75" hidden="false" customHeight="false" outlineLevel="0" collapsed="false">
      <c r="D36" s="20"/>
      <c r="E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</row>
    <row r="37" customFormat="false" ht="15.75" hidden="false" customHeight="false" outlineLevel="0" collapsed="false">
      <c r="D37" s="20"/>
      <c r="E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</row>
    <row r="38" customFormat="false" ht="15.75" hidden="false" customHeight="false" outlineLevel="0" collapsed="false">
      <c r="D38" s="20"/>
      <c r="E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</row>
    <row r="39" customFormat="false" ht="15.75" hidden="false" customHeight="false" outlineLevel="0" collapsed="false">
      <c r="D39" s="20"/>
      <c r="E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</row>
    <row r="40" customFormat="false" ht="15.75" hidden="false" customHeight="false" outlineLevel="0" collapsed="false">
      <c r="D40" s="20"/>
      <c r="E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</row>
    <row r="41" customFormat="false" ht="15.75" hidden="false" customHeight="false" outlineLevel="0" collapsed="false">
      <c r="D41" s="20"/>
      <c r="E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</row>
    <row r="42" customFormat="false" ht="15.75" hidden="false" customHeight="false" outlineLevel="0" collapsed="false">
      <c r="D42" s="20"/>
      <c r="E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</row>
    <row r="43" customFormat="false" ht="15.75" hidden="false" customHeight="false" outlineLevel="0" collapsed="false">
      <c r="D43" s="20"/>
      <c r="E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</row>
    <row r="44" customFormat="false" ht="15.75" hidden="false" customHeight="false" outlineLevel="0" collapsed="false">
      <c r="D44" s="20"/>
      <c r="E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</row>
    <row r="45" customFormat="false" ht="15.75" hidden="false" customHeight="false" outlineLevel="0" collapsed="false">
      <c r="D45" s="20"/>
      <c r="E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</row>
    <row r="46" customFormat="false" ht="15.75" hidden="false" customHeight="false" outlineLevel="0" collapsed="false">
      <c r="D46" s="20"/>
      <c r="E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</row>
    <row r="47" customFormat="false" ht="15.75" hidden="false" customHeight="false" outlineLevel="0" collapsed="false">
      <c r="D47" s="20"/>
      <c r="E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</row>
    <row r="48" customFormat="false" ht="15.75" hidden="false" customHeight="false" outlineLevel="0" collapsed="false">
      <c r="D48" s="20"/>
      <c r="E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</row>
    <row r="49" customFormat="false" ht="15.75" hidden="false" customHeight="false" outlineLevel="0" collapsed="false">
      <c r="D49" s="20"/>
      <c r="E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</row>
    <row r="50" customFormat="false" ht="15.75" hidden="false" customHeight="false" outlineLevel="0" collapsed="false">
      <c r="D50" s="20"/>
      <c r="E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</row>
    <row r="51" customFormat="false" ht="15.75" hidden="false" customHeight="false" outlineLevel="0" collapsed="false">
      <c r="D51" s="20"/>
      <c r="E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</row>
    <row r="52" customFormat="false" ht="15.75" hidden="false" customHeight="false" outlineLevel="0" collapsed="false">
      <c r="D52" s="20"/>
      <c r="E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</row>
    <row r="53" customFormat="false" ht="15.75" hidden="false" customHeight="false" outlineLevel="0" collapsed="false">
      <c r="D53" s="20"/>
      <c r="E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</row>
    <row r="54" customFormat="false" ht="15.75" hidden="false" customHeight="false" outlineLevel="0" collapsed="false">
      <c r="D54" s="20"/>
      <c r="E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</row>
    <row r="55" customFormat="false" ht="15.75" hidden="false" customHeight="false" outlineLevel="0" collapsed="false">
      <c r="D55" s="20"/>
      <c r="E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</row>
    <row r="56" customFormat="false" ht="15.75" hidden="false" customHeight="false" outlineLevel="0" collapsed="false">
      <c r="D56" s="20"/>
      <c r="E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</row>
    <row r="57" customFormat="false" ht="15.75" hidden="false" customHeight="false" outlineLevel="0" collapsed="false">
      <c r="D57" s="20"/>
      <c r="E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</row>
    <row r="58" customFormat="false" ht="15.75" hidden="false" customHeight="false" outlineLevel="0" collapsed="false">
      <c r="D58" s="20"/>
      <c r="E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</row>
    <row r="59" customFormat="false" ht="15.75" hidden="false" customHeight="false" outlineLevel="0" collapsed="false">
      <c r="D59" s="20"/>
      <c r="E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</row>
    <row r="60" customFormat="false" ht="15.75" hidden="false" customHeight="false" outlineLevel="0" collapsed="false">
      <c r="D60" s="20"/>
      <c r="E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</row>
    <row r="61" customFormat="false" ht="15.75" hidden="false" customHeight="false" outlineLevel="0" collapsed="false">
      <c r="D61" s="20"/>
      <c r="E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</row>
    <row r="62" customFormat="false" ht="15.75" hidden="false" customHeight="false" outlineLevel="0" collapsed="false">
      <c r="D62" s="20"/>
      <c r="E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</row>
    <row r="63" customFormat="false" ht="15.75" hidden="false" customHeight="false" outlineLevel="0" collapsed="false">
      <c r="D63" s="20"/>
      <c r="E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</row>
    <row r="64" customFormat="false" ht="15.75" hidden="false" customHeight="false" outlineLevel="0" collapsed="false">
      <c r="D64" s="20"/>
      <c r="E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</row>
    <row r="65" customFormat="false" ht="15.75" hidden="false" customHeight="false" outlineLevel="0" collapsed="false">
      <c r="D65" s="20"/>
      <c r="E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</row>
    <row r="66" customFormat="false" ht="15.75" hidden="false" customHeight="false" outlineLevel="0" collapsed="false">
      <c r="D66" s="20"/>
      <c r="E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</row>
    <row r="67" customFormat="false" ht="15.75" hidden="false" customHeight="false" outlineLevel="0" collapsed="false">
      <c r="D67" s="20"/>
      <c r="E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</row>
    <row r="68" customFormat="false" ht="15.75" hidden="false" customHeight="false" outlineLevel="0" collapsed="false">
      <c r="D68" s="20"/>
      <c r="E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</row>
    <row r="69" customFormat="false" ht="15.75" hidden="false" customHeight="false" outlineLevel="0" collapsed="false">
      <c r="D69" s="20"/>
      <c r="E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</row>
    <row r="70" customFormat="false" ht="15.75" hidden="false" customHeight="false" outlineLevel="0" collapsed="false">
      <c r="D70" s="20"/>
      <c r="E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</row>
    <row r="71" customFormat="false" ht="15.75" hidden="false" customHeight="false" outlineLevel="0" collapsed="false">
      <c r="D71" s="20"/>
      <c r="E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</row>
    <row r="72" customFormat="false" ht="15.75" hidden="false" customHeight="false" outlineLevel="0" collapsed="false">
      <c r="D72" s="20"/>
      <c r="E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</row>
    <row r="73" customFormat="false" ht="15.75" hidden="false" customHeight="false" outlineLevel="0" collapsed="false">
      <c r="D73" s="20"/>
      <c r="E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</row>
    <row r="74" customFormat="false" ht="15.75" hidden="false" customHeight="false" outlineLevel="0" collapsed="false">
      <c r="D74" s="20"/>
      <c r="E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</row>
    <row r="75" customFormat="false" ht="15.75" hidden="false" customHeight="false" outlineLevel="0" collapsed="false">
      <c r="D75" s="20"/>
      <c r="E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</row>
    <row r="76" customFormat="false" ht="15.75" hidden="false" customHeight="false" outlineLevel="0" collapsed="false">
      <c r="D76" s="20"/>
      <c r="E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</row>
    <row r="77" customFormat="false" ht="15.75" hidden="false" customHeight="false" outlineLevel="0" collapsed="false">
      <c r="D77" s="20"/>
      <c r="E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</row>
    <row r="78" customFormat="false" ht="15.75" hidden="false" customHeight="false" outlineLevel="0" collapsed="false">
      <c r="D78" s="20"/>
      <c r="E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</row>
    <row r="79" customFormat="false" ht="15.75" hidden="false" customHeight="false" outlineLevel="0" collapsed="false">
      <c r="D79" s="20"/>
      <c r="E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</row>
    <row r="80" customFormat="false" ht="15.75" hidden="false" customHeight="false" outlineLevel="0" collapsed="false">
      <c r="D80" s="20"/>
      <c r="E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</row>
    <row r="81" customFormat="false" ht="15.75" hidden="false" customHeight="false" outlineLevel="0" collapsed="false">
      <c r="D81" s="20"/>
      <c r="E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</row>
    <row r="82" customFormat="false" ht="15.75" hidden="false" customHeight="false" outlineLevel="0" collapsed="false">
      <c r="D82" s="20"/>
      <c r="E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</row>
    <row r="83" customFormat="false" ht="15.75" hidden="false" customHeight="false" outlineLevel="0" collapsed="false">
      <c r="D83" s="20"/>
      <c r="E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</row>
    <row r="84" customFormat="false" ht="15.75" hidden="false" customHeight="false" outlineLevel="0" collapsed="false">
      <c r="D84" s="20"/>
      <c r="E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</row>
    <row r="85" customFormat="false" ht="15.75" hidden="false" customHeight="false" outlineLevel="0" collapsed="false">
      <c r="D85" s="20"/>
      <c r="E85" s="20"/>
      <c r="I85" s="20"/>
      <c r="J85" s="20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</row>
    <row r="86" customFormat="false" ht="15.75" hidden="false" customHeight="false" outlineLevel="0" collapsed="false">
      <c r="D86" s="20"/>
      <c r="E86" s="20"/>
      <c r="I86" s="20"/>
      <c r="J86" s="20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</row>
    <row r="87" customFormat="false" ht="15.75" hidden="false" customHeight="false" outlineLevel="0" collapsed="false">
      <c r="D87" s="20"/>
      <c r="E87" s="20"/>
      <c r="I87" s="20"/>
      <c r="J87" s="20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</row>
    <row r="88" customFormat="false" ht="15.75" hidden="false" customHeight="false" outlineLevel="0" collapsed="false">
      <c r="D88" s="20"/>
      <c r="E88" s="20"/>
      <c r="I88" s="20"/>
      <c r="J88" s="20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</row>
    <row r="89" customFormat="false" ht="15.75" hidden="false" customHeight="false" outlineLevel="0" collapsed="false">
      <c r="D89" s="20"/>
      <c r="E89" s="20"/>
      <c r="I89" s="20"/>
      <c r="J89" s="20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</row>
    <row r="90" customFormat="false" ht="15.75" hidden="false" customHeight="false" outlineLevel="0" collapsed="false">
      <c r="D90" s="20"/>
      <c r="E90" s="20"/>
      <c r="I90" s="20"/>
      <c r="J90" s="20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</row>
    <row r="91" customFormat="false" ht="15.75" hidden="false" customHeight="false" outlineLevel="0" collapsed="false">
      <c r="D91" s="20"/>
      <c r="E91" s="20"/>
      <c r="I91" s="20"/>
      <c r="J91" s="20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</row>
    <row r="92" customFormat="false" ht="15.75" hidden="false" customHeight="false" outlineLevel="0" collapsed="false">
      <c r="D92" s="20"/>
      <c r="E92" s="20"/>
      <c r="I92" s="20"/>
      <c r="J92" s="20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</row>
    <row r="93" customFormat="false" ht="15.75" hidden="false" customHeight="false" outlineLevel="0" collapsed="false">
      <c r="D93" s="20"/>
      <c r="E93" s="20"/>
      <c r="I93" s="20"/>
      <c r="J93" s="20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</row>
    <row r="94" customFormat="false" ht="15.75" hidden="false" customHeight="false" outlineLevel="0" collapsed="false">
      <c r="D94" s="20"/>
      <c r="E94" s="20"/>
      <c r="I94" s="20"/>
      <c r="J94" s="20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</row>
    <row r="95" customFormat="false" ht="15.75" hidden="false" customHeight="false" outlineLevel="0" collapsed="false">
      <c r="D95" s="20"/>
      <c r="E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</row>
    <row r="96" customFormat="false" ht="15.75" hidden="false" customHeight="false" outlineLevel="0" collapsed="false">
      <c r="D96" s="20"/>
      <c r="E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</row>
    <row r="97" customFormat="false" ht="15.75" hidden="false" customHeight="false" outlineLevel="0" collapsed="false">
      <c r="D97" s="20"/>
      <c r="E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</row>
    <row r="98" customFormat="false" ht="15.75" hidden="false" customHeight="false" outlineLevel="0" collapsed="false">
      <c r="D98" s="20"/>
      <c r="E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</row>
    <row r="99" customFormat="false" ht="15.75" hidden="false" customHeight="false" outlineLevel="0" collapsed="false">
      <c r="D99" s="20"/>
      <c r="E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</row>
    <row r="100" customFormat="false" ht="15.75" hidden="false" customHeight="false" outlineLevel="0" collapsed="false">
      <c r="D100" s="20"/>
      <c r="E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</row>
    <row r="101" customFormat="false" ht="15.75" hidden="false" customHeight="false" outlineLevel="0" collapsed="false">
      <c r="D101" s="20"/>
      <c r="E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</row>
    <row r="102" customFormat="false" ht="15.75" hidden="false" customHeight="false" outlineLevel="0" collapsed="false">
      <c r="D102" s="20"/>
      <c r="E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</row>
    <row r="103" customFormat="false" ht="15.75" hidden="false" customHeight="false" outlineLevel="0" collapsed="false">
      <c r="D103" s="20"/>
      <c r="E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</row>
    <row r="104" customFormat="false" ht="15.75" hidden="false" customHeight="false" outlineLevel="0" collapsed="false">
      <c r="D104" s="20"/>
      <c r="E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</row>
    <row r="105" customFormat="false" ht="15.75" hidden="false" customHeight="false" outlineLevel="0" collapsed="false">
      <c r="D105" s="20"/>
      <c r="E105" s="20"/>
      <c r="I105" s="20"/>
      <c r="J105" s="20"/>
      <c r="K105" s="20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</row>
    <row r="106" customFormat="false" ht="15.75" hidden="false" customHeight="false" outlineLevel="0" collapsed="false">
      <c r="D106" s="20"/>
      <c r="E106" s="20"/>
      <c r="I106" s="20"/>
      <c r="J106" s="20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</row>
    <row r="107" customFormat="false" ht="15.75" hidden="false" customHeight="false" outlineLevel="0" collapsed="false">
      <c r="D107" s="20"/>
      <c r="E107" s="20"/>
      <c r="I107" s="20"/>
      <c r="J107" s="20"/>
      <c r="K107" s="20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</row>
    <row r="108" customFormat="false" ht="15.75" hidden="false" customHeight="false" outlineLevel="0" collapsed="false">
      <c r="D108" s="20"/>
      <c r="E108" s="20"/>
      <c r="I108" s="20"/>
      <c r="J108" s="20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</row>
    <row r="109" customFormat="false" ht="15.75" hidden="false" customHeight="false" outlineLevel="0" collapsed="false">
      <c r="D109" s="20"/>
      <c r="E109" s="20"/>
      <c r="I109" s="20"/>
      <c r="J109" s="20"/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</row>
    <row r="110" customFormat="false" ht="15.75" hidden="false" customHeight="false" outlineLevel="0" collapsed="false">
      <c r="D110" s="20"/>
      <c r="E110" s="20"/>
      <c r="I110" s="20"/>
      <c r="J110" s="20"/>
      <c r="K110" s="20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</row>
    <row r="111" customFormat="false" ht="15.75" hidden="false" customHeight="false" outlineLevel="0" collapsed="false">
      <c r="D111" s="20"/>
      <c r="E111" s="20"/>
      <c r="I111" s="20"/>
      <c r="J111" s="20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</row>
    <row r="112" customFormat="false" ht="15.75" hidden="false" customHeight="false" outlineLevel="0" collapsed="false">
      <c r="D112" s="20"/>
      <c r="E112" s="20"/>
      <c r="I112" s="20"/>
      <c r="J112" s="20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</row>
    <row r="113" customFormat="false" ht="15.75" hidden="false" customHeight="false" outlineLevel="0" collapsed="false">
      <c r="D113" s="20"/>
      <c r="E113" s="20"/>
      <c r="I113" s="20"/>
      <c r="J113" s="20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</row>
    <row r="114" customFormat="false" ht="15.75" hidden="false" customHeight="false" outlineLevel="0" collapsed="false">
      <c r="D114" s="20"/>
      <c r="E114" s="20"/>
      <c r="I114" s="20"/>
      <c r="J114" s="20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</row>
    <row r="115" customFormat="false" ht="15.75" hidden="false" customHeight="false" outlineLevel="0" collapsed="false">
      <c r="D115" s="20"/>
      <c r="E115" s="20"/>
      <c r="I115" s="20"/>
      <c r="J115" s="20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</row>
    <row r="116" customFormat="false" ht="15.75" hidden="false" customHeight="false" outlineLevel="0" collapsed="false">
      <c r="D116" s="20"/>
      <c r="E116" s="20"/>
      <c r="I116" s="20"/>
      <c r="J116" s="20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</row>
    <row r="117" customFormat="false" ht="15.75" hidden="false" customHeight="false" outlineLevel="0" collapsed="false">
      <c r="D117" s="20"/>
      <c r="E117" s="20"/>
      <c r="I117" s="20"/>
      <c r="J117" s="20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</row>
    <row r="118" customFormat="false" ht="15.75" hidden="false" customHeight="false" outlineLevel="0" collapsed="false">
      <c r="D118" s="20"/>
      <c r="E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</row>
    <row r="119" customFormat="false" ht="15.75" hidden="false" customHeight="false" outlineLevel="0" collapsed="false">
      <c r="D119" s="20"/>
      <c r="E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</row>
    <row r="120" customFormat="false" ht="15.75" hidden="false" customHeight="false" outlineLevel="0" collapsed="false">
      <c r="D120" s="20"/>
      <c r="E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</row>
    <row r="121" customFormat="false" ht="15.75" hidden="false" customHeight="false" outlineLevel="0" collapsed="false">
      <c r="D121" s="20"/>
      <c r="E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</row>
    <row r="122" customFormat="false" ht="15.75" hidden="false" customHeight="false" outlineLevel="0" collapsed="false">
      <c r="D122" s="20"/>
      <c r="E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</row>
    <row r="123" customFormat="false" ht="15.75" hidden="false" customHeight="false" outlineLevel="0" collapsed="false">
      <c r="D123" s="20"/>
      <c r="E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</row>
    <row r="124" customFormat="false" ht="15.75" hidden="false" customHeight="false" outlineLevel="0" collapsed="false">
      <c r="D124" s="20"/>
      <c r="E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</row>
    <row r="125" customFormat="false" ht="15.75" hidden="false" customHeight="false" outlineLevel="0" collapsed="false">
      <c r="D125" s="20"/>
      <c r="E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</row>
    <row r="126" customFormat="false" ht="15.75" hidden="false" customHeight="false" outlineLevel="0" collapsed="false">
      <c r="D126" s="20"/>
      <c r="E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</row>
    <row r="127" customFormat="false" ht="15.75" hidden="false" customHeight="false" outlineLevel="0" collapsed="false">
      <c r="D127" s="20"/>
      <c r="E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</row>
    <row r="128" customFormat="false" ht="15.75" hidden="false" customHeight="false" outlineLevel="0" collapsed="false">
      <c r="D128" s="20"/>
      <c r="E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</row>
    <row r="129" customFormat="false" ht="15.75" hidden="false" customHeight="false" outlineLevel="0" collapsed="false">
      <c r="D129" s="20"/>
      <c r="E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</row>
    <row r="130" customFormat="false" ht="15.75" hidden="false" customHeight="false" outlineLevel="0" collapsed="false">
      <c r="D130" s="20"/>
      <c r="E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</row>
    <row r="131" customFormat="false" ht="15.75" hidden="false" customHeight="false" outlineLevel="0" collapsed="false">
      <c r="D131" s="20"/>
      <c r="E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</row>
    <row r="132" customFormat="false" ht="15.75" hidden="false" customHeight="false" outlineLevel="0" collapsed="false">
      <c r="D132" s="20"/>
      <c r="E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</row>
    <row r="133" customFormat="false" ht="15.75" hidden="false" customHeight="false" outlineLevel="0" collapsed="false">
      <c r="D133" s="20"/>
      <c r="E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</row>
    <row r="134" customFormat="false" ht="15.75" hidden="false" customHeight="false" outlineLevel="0" collapsed="false">
      <c r="D134" s="20"/>
      <c r="E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</row>
    <row r="135" customFormat="false" ht="15.75" hidden="false" customHeight="false" outlineLevel="0" collapsed="false">
      <c r="D135" s="20"/>
      <c r="E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</row>
    <row r="136" customFormat="false" ht="15.75" hidden="false" customHeight="false" outlineLevel="0" collapsed="false">
      <c r="D136" s="20"/>
      <c r="E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</row>
    <row r="137" customFormat="false" ht="15.75" hidden="false" customHeight="false" outlineLevel="0" collapsed="false">
      <c r="D137" s="20"/>
      <c r="E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</row>
    <row r="138" customFormat="false" ht="15.75" hidden="false" customHeight="false" outlineLevel="0" collapsed="false">
      <c r="D138" s="20"/>
      <c r="E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</row>
    <row r="139" customFormat="false" ht="15.75" hidden="false" customHeight="false" outlineLevel="0" collapsed="false">
      <c r="D139" s="20"/>
      <c r="E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</row>
    <row r="140" customFormat="false" ht="15.75" hidden="false" customHeight="false" outlineLevel="0" collapsed="false">
      <c r="D140" s="20"/>
      <c r="E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</row>
    <row r="141" customFormat="false" ht="15.75" hidden="false" customHeight="false" outlineLevel="0" collapsed="false">
      <c r="D141" s="20"/>
      <c r="E141" s="20"/>
      <c r="I141" s="20"/>
      <c r="J141" s="20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</row>
    <row r="142" customFormat="false" ht="15.75" hidden="false" customHeight="false" outlineLevel="0" collapsed="false">
      <c r="D142" s="20"/>
      <c r="E142" s="20"/>
      <c r="I142" s="20"/>
      <c r="J142" s="20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</row>
    <row r="143" customFormat="false" ht="15.75" hidden="false" customHeight="false" outlineLevel="0" collapsed="false">
      <c r="D143" s="20"/>
      <c r="E143" s="20"/>
      <c r="I143" s="20"/>
      <c r="J143" s="20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</row>
    <row r="144" customFormat="false" ht="15.75" hidden="false" customHeight="false" outlineLevel="0" collapsed="false">
      <c r="D144" s="20"/>
      <c r="E144" s="20"/>
      <c r="I144" s="20"/>
      <c r="J144" s="20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</row>
    <row r="145" customFormat="false" ht="15.75" hidden="false" customHeight="false" outlineLevel="0" collapsed="false">
      <c r="D145" s="20"/>
      <c r="E145" s="20"/>
      <c r="I145" s="20"/>
      <c r="J145" s="20"/>
      <c r="K145" s="20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</row>
    <row r="146" customFormat="false" ht="15.75" hidden="false" customHeight="false" outlineLevel="0" collapsed="false">
      <c r="D146" s="20"/>
      <c r="E146" s="20"/>
      <c r="I146" s="20"/>
      <c r="J146" s="20"/>
      <c r="K146" s="20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</row>
    <row r="147" customFormat="false" ht="15.75" hidden="false" customHeight="false" outlineLevel="0" collapsed="false">
      <c r="D147" s="20"/>
      <c r="E147" s="20"/>
      <c r="I147" s="20"/>
      <c r="J147" s="20"/>
      <c r="K147" s="20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</row>
    <row r="148" customFormat="false" ht="15.75" hidden="false" customHeight="false" outlineLevel="0" collapsed="false">
      <c r="D148" s="20"/>
      <c r="E148" s="20"/>
      <c r="I148" s="20"/>
      <c r="J148" s="20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</row>
    <row r="149" customFormat="false" ht="15.75" hidden="false" customHeight="false" outlineLevel="0" collapsed="false">
      <c r="D149" s="20"/>
      <c r="E149" s="20"/>
      <c r="I149" s="20"/>
      <c r="J149" s="20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</row>
    <row r="150" customFormat="false" ht="15.75" hidden="false" customHeight="false" outlineLevel="0" collapsed="false">
      <c r="D150" s="20"/>
      <c r="E150" s="20"/>
      <c r="I150" s="20"/>
      <c r="J150" s="20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</row>
    <row r="151" customFormat="false" ht="15.75" hidden="false" customHeight="false" outlineLevel="0" collapsed="false">
      <c r="D151" s="20"/>
      <c r="E151" s="20"/>
      <c r="I151" s="20"/>
      <c r="J151" s="20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</row>
    <row r="152" customFormat="false" ht="15.75" hidden="false" customHeight="false" outlineLevel="0" collapsed="false">
      <c r="D152" s="20"/>
      <c r="E152" s="20"/>
      <c r="I152" s="20"/>
      <c r="J152" s="20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</row>
    <row r="153" customFormat="false" ht="15.75" hidden="false" customHeight="false" outlineLevel="0" collapsed="false">
      <c r="D153" s="20"/>
      <c r="E153" s="20"/>
      <c r="I153" s="20"/>
      <c r="J153" s="20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</row>
    <row r="154" customFormat="false" ht="15.75" hidden="false" customHeight="false" outlineLevel="0" collapsed="false">
      <c r="D154" s="20"/>
      <c r="E154" s="20"/>
      <c r="I154" s="20"/>
      <c r="J154" s="20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</row>
    <row r="155" customFormat="false" ht="15.75" hidden="false" customHeight="false" outlineLevel="0" collapsed="false">
      <c r="D155" s="20"/>
      <c r="E155" s="20"/>
      <c r="I155" s="20"/>
      <c r="J155" s="20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</row>
    <row r="156" customFormat="false" ht="15.75" hidden="false" customHeight="false" outlineLevel="0" collapsed="false">
      <c r="D156" s="20"/>
      <c r="E156" s="20"/>
      <c r="I156" s="20"/>
      <c r="J156" s="20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</row>
    <row r="157" customFormat="false" ht="15.75" hidden="false" customHeight="false" outlineLevel="0" collapsed="false">
      <c r="D157" s="20"/>
      <c r="E157" s="20"/>
      <c r="I157" s="20"/>
      <c r="J157" s="20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</row>
    <row r="158" customFormat="false" ht="15.75" hidden="false" customHeight="false" outlineLevel="0" collapsed="false">
      <c r="D158" s="20"/>
      <c r="E158" s="20"/>
      <c r="I158" s="20"/>
      <c r="J158" s="20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</row>
    <row r="159" customFormat="false" ht="15.75" hidden="false" customHeight="false" outlineLevel="0" collapsed="false">
      <c r="D159" s="20"/>
      <c r="E159" s="20"/>
      <c r="I159" s="20"/>
      <c r="J159" s="20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</row>
    <row r="160" customFormat="false" ht="15.75" hidden="false" customHeight="false" outlineLevel="0" collapsed="false">
      <c r="D160" s="20"/>
      <c r="E160" s="20"/>
      <c r="I160" s="20"/>
      <c r="J160" s="20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</row>
    <row r="161" customFormat="false" ht="15.75" hidden="false" customHeight="false" outlineLevel="0" collapsed="false">
      <c r="D161" s="20"/>
      <c r="E161" s="20"/>
      <c r="I161" s="20"/>
      <c r="J161" s="20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</row>
    <row r="162" customFormat="false" ht="15.75" hidden="false" customHeight="false" outlineLevel="0" collapsed="false">
      <c r="D162" s="20"/>
      <c r="E162" s="20"/>
      <c r="I162" s="20"/>
      <c r="J162" s="20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</row>
    <row r="163" customFormat="false" ht="15.75" hidden="false" customHeight="false" outlineLevel="0" collapsed="false">
      <c r="D163" s="20"/>
      <c r="E163" s="20"/>
      <c r="I163" s="20"/>
      <c r="J163" s="20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</row>
    <row r="164" customFormat="false" ht="15.75" hidden="false" customHeight="false" outlineLevel="0" collapsed="false">
      <c r="D164" s="20"/>
      <c r="E164" s="20"/>
      <c r="I164" s="20"/>
      <c r="J164" s="20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</row>
    <row r="165" customFormat="false" ht="15.75" hidden="false" customHeight="false" outlineLevel="0" collapsed="false">
      <c r="D165" s="20"/>
      <c r="E165" s="20"/>
      <c r="I165" s="20"/>
      <c r="J165" s="20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</row>
    <row r="166" customFormat="false" ht="15.75" hidden="false" customHeight="false" outlineLevel="0" collapsed="false">
      <c r="D166" s="20"/>
      <c r="E166" s="20"/>
      <c r="I166" s="20"/>
      <c r="J166" s="20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</row>
    <row r="167" customFormat="false" ht="15.75" hidden="false" customHeight="false" outlineLevel="0" collapsed="false">
      <c r="D167" s="20"/>
      <c r="E167" s="20"/>
      <c r="I167" s="20"/>
      <c r="J167" s="20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</row>
    <row r="168" customFormat="false" ht="15.75" hidden="false" customHeight="false" outlineLevel="0" collapsed="false">
      <c r="D168" s="20"/>
      <c r="E168" s="20"/>
      <c r="I168" s="20"/>
      <c r="J168" s="20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</row>
    <row r="169" customFormat="false" ht="15.75" hidden="false" customHeight="false" outlineLevel="0" collapsed="false">
      <c r="D169" s="20"/>
      <c r="E169" s="20"/>
      <c r="I169" s="20"/>
      <c r="J169" s="20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</row>
    <row r="170" customFormat="false" ht="15.75" hidden="false" customHeight="false" outlineLevel="0" collapsed="false">
      <c r="D170" s="20"/>
      <c r="E170" s="20"/>
      <c r="I170" s="20"/>
      <c r="J170" s="20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</row>
    <row r="171" customFormat="false" ht="15.75" hidden="false" customHeight="false" outlineLevel="0" collapsed="false">
      <c r="D171" s="20"/>
      <c r="E171" s="20"/>
      <c r="I171" s="20"/>
      <c r="J171" s="20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</row>
    <row r="172" customFormat="false" ht="15.75" hidden="false" customHeight="false" outlineLevel="0" collapsed="false">
      <c r="D172" s="20"/>
      <c r="E172" s="20"/>
      <c r="I172" s="20"/>
      <c r="J172" s="20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</row>
    <row r="173" customFormat="false" ht="15.75" hidden="false" customHeight="false" outlineLevel="0" collapsed="false">
      <c r="D173" s="20"/>
      <c r="E173" s="20"/>
      <c r="I173" s="20"/>
      <c r="J173" s="20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</row>
    <row r="174" customFormat="false" ht="15.75" hidden="false" customHeight="false" outlineLevel="0" collapsed="false">
      <c r="D174" s="20"/>
      <c r="E174" s="20"/>
      <c r="I174" s="20"/>
      <c r="J174" s="20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</row>
    <row r="175" customFormat="false" ht="15.75" hidden="false" customHeight="false" outlineLevel="0" collapsed="false">
      <c r="D175" s="20"/>
      <c r="E175" s="20"/>
      <c r="I175" s="20"/>
      <c r="J175" s="20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</row>
    <row r="176" customFormat="false" ht="15.75" hidden="false" customHeight="false" outlineLevel="0" collapsed="false">
      <c r="D176" s="20"/>
      <c r="E176" s="20"/>
      <c r="I176" s="20"/>
      <c r="J176" s="20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</row>
    <row r="177" customFormat="false" ht="15.75" hidden="false" customHeight="false" outlineLevel="0" collapsed="false">
      <c r="D177" s="20"/>
      <c r="E177" s="20"/>
      <c r="I177" s="20"/>
      <c r="J177" s="20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</row>
    <row r="178" customFormat="false" ht="15.75" hidden="false" customHeight="false" outlineLevel="0" collapsed="false">
      <c r="D178" s="20"/>
      <c r="E178" s="20"/>
      <c r="I178" s="20"/>
      <c r="J178" s="20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</row>
    <row r="179" customFormat="false" ht="15.75" hidden="false" customHeight="false" outlineLevel="0" collapsed="false">
      <c r="D179" s="20"/>
      <c r="E179" s="20"/>
      <c r="I179" s="20"/>
      <c r="J179" s="20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</row>
    <row r="180" customFormat="false" ht="15.75" hidden="false" customHeight="false" outlineLevel="0" collapsed="false">
      <c r="D180" s="20"/>
      <c r="E180" s="20"/>
      <c r="I180" s="20"/>
      <c r="J180" s="20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</row>
    <row r="181" customFormat="false" ht="15.75" hidden="false" customHeight="false" outlineLevel="0" collapsed="false">
      <c r="D181" s="20"/>
      <c r="E181" s="20"/>
      <c r="I181" s="20"/>
      <c r="J181" s="20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</row>
    <row r="182" customFormat="false" ht="15.75" hidden="false" customHeight="false" outlineLevel="0" collapsed="false">
      <c r="D182" s="20"/>
      <c r="E182" s="20"/>
      <c r="I182" s="20"/>
      <c r="J182" s="20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</row>
    <row r="183" customFormat="false" ht="15.75" hidden="false" customHeight="false" outlineLevel="0" collapsed="false">
      <c r="D183" s="20"/>
      <c r="E183" s="20"/>
      <c r="I183" s="20"/>
      <c r="J183" s="20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</row>
    <row r="184" customFormat="false" ht="15.75" hidden="false" customHeight="false" outlineLevel="0" collapsed="false">
      <c r="D184" s="20"/>
      <c r="E184" s="20"/>
      <c r="I184" s="20"/>
      <c r="J184" s="20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</row>
    <row r="185" customFormat="false" ht="15.75" hidden="false" customHeight="false" outlineLevel="0" collapsed="false">
      <c r="D185" s="20"/>
      <c r="E185" s="20"/>
      <c r="I185" s="20"/>
      <c r="J185" s="20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</row>
    <row r="186" customFormat="false" ht="15.75" hidden="false" customHeight="false" outlineLevel="0" collapsed="false">
      <c r="D186" s="20"/>
      <c r="E186" s="20"/>
      <c r="I186" s="20"/>
      <c r="J186" s="20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</row>
    <row r="187" customFormat="false" ht="15.75" hidden="false" customHeight="false" outlineLevel="0" collapsed="false">
      <c r="D187" s="20"/>
      <c r="E187" s="20"/>
      <c r="I187" s="20"/>
      <c r="J187" s="20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</row>
    <row r="188" customFormat="false" ht="15.75" hidden="false" customHeight="false" outlineLevel="0" collapsed="false">
      <c r="D188" s="20"/>
      <c r="E188" s="20"/>
      <c r="I188" s="20"/>
      <c r="J188" s="20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</row>
    <row r="189" customFormat="false" ht="15.75" hidden="false" customHeight="false" outlineLevel="0" collapsed="false">
      <c r="D189" s="20"/>
      <c r="E189" s="20"/>
      <c r="I189" s="20"/>
      <c r="J189" s="20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</row>
    <row r="190" customFormat="false" ht="15.75" hidden="false" customHeight="false" outlineLevel="0" collapsed="false">
      <c r="D190" s="20"/>
      <c r="E190" s="20"/>
      <c r="I190" s="20"/>
      <c r="J190" s="20"/>
      <c r="K190" s="20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</row>
    <row r="191" customFormat="false" ht="15.75" hidden="false" customHeight="false" outlineLevel="0" collapsed="false">
      <c r="D191" s="20"/>
      <c r="E191" s="20"/>
      <c r="I191" s="20"/>
      <c r="J191" s="20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</row>
    <row r="192" customFormat="false" ht="15.75" hidden="false" customHeight="false" outlineLevel="0" collapsed="false">
      <c r="D192" s="20"/>
      <c r="E192" s="20"/>
      <c r="I192" s="20"/>
      <c r="J192" s="20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</row>
    <row r="193" customFormat="false" ht="15.75" hidden="false" customHeight="false" outlineLevel="0" collapsed="false">
      <c r="D193" s="20"/>
      <c r="E193" s="20"/>
      <c r="I193" s="20"/>
      <c r="J193" s="20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</row>
    <row r="194" customFormat="false" ht="15.75" hidden="false" customHeight="false" outlineLevel="0" collapsed="false">
      <c r="D194" s="20"/>
      <c r="E194" s="20"/>
      <c r="I194" s="20"/>
      <c r="J194" s="20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</row>
    <row r="195" customFormat="false" ht="15.75" hidden="false" customHeight="false" outlineLevel="0" collapsed="false">
      <c r="D195" s="20"/>
      <c r="E195" s="20"/>
      <c r="I195" s="20"/>
      <c r="J195" s="20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</row>
    <row r="196" customFormat="false" ht="15.75" hidden="false" customHeight="false" outlineLevel="0" collapsed="false">
      <c r="D196" s="20"/>
      <c r="E196" s="20"/>
      <c r="I196" s="20"/>
      <c r="J196" s="20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</row>
    <row r="197" customFormat="false" ht="15.75" hidden="false" customHeight="false" outlineLevel="0" collapsed="false">
      <c r="D197" s="20"/>
      <c r="E197" s="20"/>
      <c r="I197" s="20"/>
      <c r="J197" s="20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</row>
    <row r="198" customFormat="false" ht="15.75" hidden="false" customHeight="false" outlineLevel="0" collapsed="false">
      <c r="D198" s="20"/>
      <c r="E198" s="20"/>
      <c r="I198" s="20"/>
      <c r="J198" s="20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</row>
    <row r="199" customFormat="false" ht="15.75" hidden="false" customHeight="false" outlineLevel="0" collapsed="false">
      <c r="D199" s="20"/>
      <c r="E199" s="20"/>
      <c r="I199" s="20"/>
      <c r="J199" s="20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</row>
    <row r="200" customFormat="false" ht="15.75" hidden="false" customHeight="false" outlineLevel="0" collapsed="false">
      <c r="D200" s="20"/>
      <c r="E200" s="20"/>
      <c r="I200" s="20"/>
      <c r="J200" s="20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</row>
    <row r="201" customFormat="false" ht="15.75" hidden="false" customHeight="false" outlineLevel="0" collapsed="false">
      <c r="D201" s="20"/>
      <c r="E201" s="20"/>
      <c r="I201" s="20"/>
      <c r="J201" s="20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</row>
    <row r="202" customFormat="false" ht="15.75" hidden="false" customHeight="false" outlineLevel="0" collapsed="false">
      <c r="D202" s="20"/>
      <c r="E202" s="20"/>
      <c r="I202" s="20"/>
      <c r="J202" s="20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</row>
    <row r="203" customFormat="false" ht="15.75" hidden="false" customHeight="false" outlineLevel="0" collapsed="false">
      <c r="D203" s="20"/>
      <c r="E203" s="20"/>
      <c r="I203" s="20"/>
      <c r="J203" s="20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</row>
    <row r="204" customFormat="false" ht="15.75" hidden="false" customHeight="false" outlineLevel="0" collapsed="false">
      <c r="D204" s="20"/>
      <c r="E204" s="20"/>
      <c r="I204" s="20"/>
      <c r="J204" s="20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</row>
    <row r="205" customFormat="false" ht="15.75" hidden="false" customHeight="false" outlineLevel="0" collapsed="false">
      <c r="D205" s="20"/>
      <c r="E205" s="20"/>
      <c r="I205" s="20"/>
      <c r="J205" s="20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</row>
    <row r="206" customFormat="false" ht="15.75" hidden="false" customHeight="false" outlineLevel="0" collapsed="false">
      <c r="D206" s="20"/>
      <c r="E206" s="20"/>
      <c r="I206" s="20"/>
      <c r="J206" s="20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</row>
    <row r="207" customFormat="false" ht="15.75" hidden="false" customHeight="false" outlineLevel="0" collapsed="false">
      <c r="D207" s="20"/>
      <c r="E207" s="20"/>
      <c r="I207" s="20"/>
      <c r="J207" s="20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</row>
    <row r="208" customFormat="false" ht="15.75" hidden="false" customHeight="false" outlineLevel="0" collapsed="false">
      <c r="D208" s="20"/>
      <c r="E208" s="20"/>
      <c r="I208" s="20"/>
      <c r="J208" s="20"/>
      <c r="K208" s="20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</row>
    <row r="209" customFormat="false" ht="15.75" hidden="false" customHeight="false" outlineLevel="0" collapsed="false">
      <c r="D209" s="20"/>
      <c r="E209" s="20"/>
      <c r="I209" s="20"/>
      <c r="J209" s="20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</row>
    <row r="210" customFormat="false" ht="15.75" hidden="false" customHeight="false" outlineLevel="0" collapsed="false">
      <c r="D210" s="20"/>
      <c r="E210" s="20"/>
      <c r="I210" s="20"/>
      <c r="J210" s="20"/>
      <c r="K210" s="20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</row>
    <row r="211" customFormat="false" ht="15.75" hidden="false" customHeight="false" outlineLevel="0" collapsed="false">
      <c r="D211" s="20"/>
      <c r="E211" s="20"/>
      <c r="I211" s="20"/>
      <c r="J211" s="20"/>
      <c r="K211" s="20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</row>
    <row r="212" customFormat="false" ht="15.75" hidden="false" customHeight="false" outlineLevel="0" collapsed="false">
      <c r="D212" s="20"/>
      <c r="E212" s="20"/>
      <c r="I212" s="20"/>
      <c r="J212" s="20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</row>
    <row r="213" customFormat="false" ht="15.75" hidden="false" customHeight="false" outlineLevel="0" collapsed="false">
      <c r="D213" s="20"/>
      <c r="E213" s="20"/>
      <c r="I213" s="20"/>
      <c r="J213" s="20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</row>
    <row r="214" customFormat="false" ht="15.75" hidden="false" customHeight="false" outlineLevel="0" collapsed="false">
      <c r="D214" s="20"/>
      <c r="E214" s="20"/>
      <c r="I214" s="20"/>
      <c r="J214" s="20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</row>
    <row r="215" customFormat="false" ht="15.75" hidden="false" customHeight="false" outlineLevel="0" collapsed="false">
      <c r="D215" s="20"/>
      <c r="E215" s="20"/>
      <c r="I215" s="20"/>
      <c r="J215" s="20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</row>
    <row r="216" customFormat="false" ht="15.75" hidden="false" customHeight="false" outlineLevel="0" collapsed="false">
      <c r="D216" s="20"/>
      <c r="E216" s="20"/>
      <c r="I216" s="20"/>
      <c r="J216" s="20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</row>
    <row r="217" customFormat="false" ht="15.75" hidden="false" customHeight="false" outlineLevel="0" collapsed="false">
      <c r="D217" s="20"/>
      <c r="E217" s="20"/>
      <c r="I217" s="20"/>
      <c r="J217" s="20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</row>
    <row r="218" customFormat="false" ht="15.75" hidden="false" customHeight="false" outlineLevel="0" collapsed="false">
      <c r="D218" s="20"/>
      <c r="E218" s="20"/>
      <c r="I218" s="20"/>
      <c r="J218" s="20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</row>
    <row r="219" customFormat="false" ht="15.75" hidden="false" customHeight="false" outlineLevel="0" collapsed="false">
      <c r="D219" s="20"/>
      <c r="E219" s="20"/>
      <c r="I219" s="20"/>
      <c r="J219" s="20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</row>
    <row r="220" customFormat="false" ht="15.75" hidden="false" customHeight="false" outlineLevel="0" collapsed="false">
      <c r="D220" s="20"/>
      <c r="E220" s="20"/>
      <c r="I220" s="20"/>
      <c r="J220" s="20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</row>
    <row r="221" customFormat="false" ht="15.75" hidden="false" customHeight="false" outlineLevel="0" collapsed="false">
      <c r="D221" s="20"/>
      <c r="E221" s="20"/>
      <c r="I221" s="20"/>
      <c r="J221" s="20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</row>
    <row r="222" customFormat="false" ht="15.75" hidden="false" customHeight="false" outlineLevel="0" collapsed="false">
      <c r="D222" s="20"/>
      <c r="E222" s="20"/>
      <c r="I222" s="20"/>
      <c r="J222" s="20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</row>
    <row r="223" customFormat="false" ht="15.75" hidden="false" customHeight="false" outlineLevel="0" collapsed="false">
      <c r="D223" s="20"/>
      <c r="E223" s="20"/>
      <c r="I223" s="20"/>
      <c r="J223" s="20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</row>
    <row r="224" customFormat="false" ht="15.75" hidden="false" customHeight="false" outlineLevel="0" collapsed="false">
      <c r="D224" s="20"/>
      <c r="E224" s="20"/>
      <c r="I224" s="20"/>
      <c r="J224" s="20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</row>
    <row r="225" customFormat="false" ht="15.75" hidden="false" customHeight="false" outlineLevel="0" collapsed="false">
      <c r="D225" s="20"/>
      <c r="E225" s="20"/>
      <c r="I225" s="20"/>
      <c r="J225" s="20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</row>
    <row r="226" customFormat="false" ht="15.75" hidden="false" customHeight="false" outlineLevel="0" collapsed="false">
      <c r="D226" s="20"/>
      <c r="E226" s="20"/>
      <c r="I226" s="20"/>
      <c r="J226" s="20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</row>
    <row r="227" customFormat="false" ht="15.75" hidden="false" customHeight="false" outlineLevel="0" collapsed="false">
      <c r="D227" s="20"/>
      <c r="E227" s="20"/>
      <c r="I227" s="20"/>
      <c r="J227" s="20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</row>
    <row r="228" customFormat="false" ht="15.75" hidden="false" customHeight="false" outlineLevel="0" collapsed="false">
      <c r="D228" s="20"/>
      <c r="E228" s="20"/>
      <c r="I228" s="20"/>
      <c r="J228" s="20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</row>
    <row r="229" customFormat="false" ht="15.75" hidden="false" customHeight="false" outlineLevel="0" collapsed="false">
      <c r="D229" s="20"/>
      <c r="E229" s="20"/>
      <c r="I229" s="20"/>
      <c r="J229" s="20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</row>
    <row r="230" customFormat="false" ht="15.75" hidden="false" customHeight="false" outlineLevel="0" collapsed="false">
      <c r="D230" s="20"/>
      <c r="E230" s="20"/>
      <c r="I230" s="20"/>
      <c r="J230" s="20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</row>
    <row r="231" customFormat="false" ht="15.75" hidden="false" customHeight="false" outlineLevel="0" collapsed="false">
      <c r="D231" s="20"/>
      <c r="E231" s="20"/>
      <c r="I231" s="20"/>
      <c r="J231" s="20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</row>
    <row r="232" customFormat="false" ht="15.75" hidden="false" customHeight="false" outlineLevel="0" collapsed="false">
      <c r="D232" s="20"/>
      <c r="E232" s="20"/>
      <c r="I232" s="20"/>
      <c r="J232" s="20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</row>
    <row r="233" customFormat="false" ht="15.75" hidden="false" customHeight="false" outlineLevel="0" collapsed="false">
      <c r="D233" s="20"/>
      <c r="E233" s="20"/>
      <c r="I233" s="20"/>
      <c r="J233" s="20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</row>
    <row r="234" customFormat="false" ht="15.75" hidden="false" customHeight="false" outlineLevel="0" collapsed="false">
      <c r="D234" s="20"/>
      <c r="E234" s="20"/>
      <c r="I234" s="20"/>
      <c r="J234" s="20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</row>
    <row r="235" customFormat="false" ht="15.75" hidden="false" customHeight="false" outlineLevel="0" collapsed="false">
      <c r="D235" s="20"/>
      <c r="E235" s="20"/>
      <c r="I235" s="20"/>
      <c r="J235" s="20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</row>
    <row r="236" customFormat="false" ht="15.75" hidden="false" customHeight="false" outlineLevel="0" collapsed="false">
      <c r="D236" s="20"/>
      <c r="E236" s="20"/>
      <c r="I236" s="20"/>
      <c r="J236" s="20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</row>
    <row r="237" customFormat="false" ht="15.75" hidden="false" customHeight="false" outlineLevel="0" collapsed="false">
      <c r="D237" s="20"/>
      <c r="E237" s="20"/>
      <c r="I237" s="20"/>
      <c r="J237" s="20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</row>
    <row r="238" customFormat="false" ht="15.75" hidden="false" customHeight="false" outlineLevel="0" collapsed="false">
      <c r="D238" s="20"/>
      <c r="E238" s="20"/>
      <c r="I238" s="20"/>
      <c r="J238" s="20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</row>
    <row r="239" customFormat="false" ht="15.75" hidden="false" customHeight="false" outlineLevel="0" collapsed="false">
      <c r="D239" s="20"/>
      <c r="E239" s="20"/>
      <c r="I239" s="20"/>
      <c r="J239" s="20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</row>
    <row r="240" customFormat="false" ht="15.75" hidden="false" customHeight="false" outlineLevel="0" collapsed="false">
      <c r="D240" s="20"/>
      <c r="E240" s="20"/>
      <c r="I240" s="20"/>
      <c r="J240" s="20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</row>
    <row r="241" customFormat="false" ht="15.75" hidden="false" customHeight="false" outlineLevel="0" collapsed="false">
      <c r="D241" s="20"/>
      <c r="E241" s="20"/>
      <c r="I241" s="20"/>
      <c r="J241" s="20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</row>
    <row r="242" customFormat="false" ht="15.75" hidden="false" customHeight="false" outlineLevel="0" collapsed="false">
      <c r="D242" s="20"/>
      <c r="E242" s="20"/>
      <c r="I242" s="20"/>
      <c r="J242" s="20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</row>
    <row r="243" customFormat="false" ht="15.75" hidden="false" customHeight="false" outlineLevel="0" collapsed="false">
      <c r="D243" s="20"/>
      <c r="E243" s="20"/>
      <c r="I243" s="20"/>
      <c r="J243" s="20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</row>
    <row r="244" customFormat="false" ht="15.75" hidden="false" customHeight="false" outlineLevel="0" collapsed="false">
      <c r="D244" s="20"/>
      <c r="E244" s="20"/>
      <c r="I244" s="20"/>
      <c r="J244" s="20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</row>
    <row r="245" customFormat="false" ht="15.75" hidden="false" customHeight="false" outlineLevel="0" collapsed="false">
      <c r="D245" s="20"/>
      <c r="E245" s="20"/>
      <c r="I245" s="20"/>
      <c r="J245" s="20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</row>
    <row r="246" customFormat="false" ht="15.75" hidden="false" customHeight="false" outlineLevel="0" collapsed="false">
      <c r="D246" s="20"/>
      <c r="E246" s="20"/>
      <c r="I246" s="20"/>
      <c r="J246" s="20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</row>
    <row r="247" customFormat="false" ht="15.75" hidden="false" customHeight="false" outlineLevel="0" collapsed="false">
      <c r="D247" s="20"/>
      <c r="E247" s="20"/>
      <c r="I247" s="20"/>
      <c r="J247" s="20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</row>
    <row r="248" customFormat="false" ht="15.75" hidden="false" customHeight="false" outlineLevel="0" collapsed="false">
      <c r="D248" s="20"/>
      <c r="E248" s="20"/>
      <c r="I248" s="20"/>
      <c r="J248" s="20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</row>
    <row r="249" customFormat="false" ht="15.75" hidden="false" customHeight="false" outlineLevel="0" collapsed="false">
      <c r="D249" s="20"/>
      <c r="E249" s="20"/>
      <c r="I249" s="20"/>
      <c r="J249" s="20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</row>
    <row r="250" customFormat="false" ht="15.75" hidden="false" customHeight="false" outlineLevel="0" collapsed="false">
      <c r="D250" s="20"/>
      <c r="E250" s="20"/>
      <c r="I250" s="20"/>
      <c r="J250" s="20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</row>
    <row r="251" customFormat="false" ht="15.75" hidden="false" customHeight="false" outlineLevel="0" collapsed="false">
      <c r="D251" s="20"/>
      <c r="E251" s="20"/>
      <c r="I251" s="20"/>
      <c r="J251" s="20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</row>
    <row r="252" customFormat="false" ht="15.75" hidden="false" customHeight="false" outlineLevel="0" collapsed="false">
      <c r="D252" s="20"/>
      <c r="E252" s="20"/>
      <c r="I252" s="20"/>
      <c r="J252" s="20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</row>
    <row r="253" customFormat="false" ht="15.75" hidden="false" customHeight="false" outlineLevel="0" collapsed="false">
      <c r="D253" s="20"/>
      <c r="E253" s="20"/>
      <c r="I253" s="20"/>
      <c r="J253" s="20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</row>
    <row r="254" customFormat="false" ht="15.75" hidden="false" customHeight="false" outlineLevel="0" collapsed="false">
      <c r="D254" s="20"/>
      <c r="E254" s="20"/>
      <c r="I254" s="20"/>
      <c r="J254" s="20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</row>
    <row r="255" customFormat="false" ht="15.75" hidden="false" customHeight="false" outlineLevel="0" collapsed="false">
      <c r="D255" s="20"/>
      <c r="E255" s="20"/>
      <c r="I255" s="20"/>
      <c r="J255" s="20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</row>
    <row r="256" customFormat="false" ht="15.75" hidden="false" customHeight="false" outlineLevel="0" collapsed="false">
      <c r="D256" s="20"/>
      <c r="E256" s="20"/>
      <c r="I256" s="20"/>
      <c r="J256" s="20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</row>
    <row r="257" customFormat="false" ht="15.75" hidden="false" customHeight="false" outlineLevel="0" collapsed="false">
      <c r="D257" s="20"/>
      <c r="E257" s="20"/>
      <c r="I257" s="20"/>
      <c r="J257" s="20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</row>
    <row r="258" customFormat="false" ht="15.75" hidden="false" customHeight="false" outlineLevel="0" collapsed="false">
      <c r="D258" s="20"/>
      <c r="E258" s="20"/>
      <c r="I258" s="20"/>
      <c r="J258" s="20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</row>
    <row r="259" customFormat="false" ht="15.75" hidden="false" customHeight="false" outlineLevel="0" collapsed="false">
      <c r="D259" s="20"/>
      <c r="E259" s="20"/>
      <c r="I259" s="20"/>
      <c r="J259" s="20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</row>
    <row r="260" customFormat="false" ht="15.75" hidden="false" customHeight="false" outlineLevel="0" collapsed="false">
      <c r="D260" s="20"/>
      <c r="E260" s="20"/>
      <c r="I260" s="20"/>
      <c r="J260" s="20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</row>
    <row r="261" customFormat="false" ht="15.75" hidden="false" customHeight="false" outlineLevel="0" collapsed="false">
      <c r="D261" s="20"/>
      <c r="E261" s="20"/>
      <c r="I261" s="20"/>
      <c r="J261" s="20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</row>
    <row r="262" customFormat="false" ht="15.75" hidden="false" customHeight="false" outlineLevel="0" collapsed="false">
      <c r="D262" s="20"/>
      <c r="E262" s="20"/>
      <c r="I262" s="20"/>
      <c r="J262" s="20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</row>
    <row r="263" customFormat="false" ht="15.75" hidden="false" customHeight="false" outlineLevel="0" collapsed="false">
      <c r="D263" s="20"/>
      <c r="E263" s="20"/>
      <c r="I263" s="20"/>
      <c r="J263" s="20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</row>
    <row r="264" customFormat="false" ht="15.75" hidden="false" customHeight="false" outlineLevel="0" collapsed="false">
      <c r="D264" s="20"/>
      <c r="E264" s="20"/>
      <c r="I264" s="20"/>
      <c r="J264" s="20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</row>
    <row r="265" customFormat="false" ht="15.75" hidden="false" customHeight="false" outlineLevel="0" collapsed="false">
      <c r="D265" s="20"/>
      <c r="E265" s="20"/>
      <c r="I265" s="20"/>
      <c r="J265" s="20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</row>
    <row r="266" customFormat="false" ht="15.75" hidden="false" customHeight="false" outlineLevel="0" collapsed="false">
      <c r="D266" s="20"/>
      <c r="E266" s="20"/>
      <c r="I266" s="20"/>
      <c r="J266" s="20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</row>
    <row r="267" customFormat="false" ht="15.75" hidden="false" customHeight="false" outlineLevel="0" collapsed="false">
      <c r="D267" s="20"/>
      <c r="E267" s="20"/>
      <c r="I267" s="20"/>
      <c r="J267" s="20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</row>
    <row r="268" customFormat="false" ht="15.75" hidden="false" customHeight="false" outlineLevel="0" collapsed="false">
      <c r="D268" s="20"/>
      <c r="E268" s="20"/>
      <c r="I268" s="20"/>
      <c r="J268" s="20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</row>
    <row r="269" customFormat="false" ht="15.75" hidden="false" customHeight="false" outlineLevel="0" collapsed="false">
      <c r="D269" s="20"/>
      <c r="E269" s="20"/>
      <c r="I269" s="20"/>
      <c r="J269" s="20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</row>
    <row r="270" customFormat="false" ht="15.75" hidden="false" customHeight="false" outlineLevel="0" collapsed="false">
      <c r="D270" s="20"/>
      <c r="E270" s="20"/>
      <c r="I270" s="20"/>
      <c r="J270" s="20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</row>
    <row r="271" customFormat="false" ht="15.75" hidden="false" customHeight="false" outlineLevel="0" collapsed="false">
      <c r="D271" s="20"/>
      <c r="E271" s="20"/>
      <c r="I271" s="20"/>
      <c r="J271" s="20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</row>
    <row r="272" customFormat="false" ht="15.75" hidden="false" customHeight="false" outlineLevel="0" collapsed="false">
      <c r="D272" s="20"/>
      <c r="E272" s="20"/>
      <c r="I272" s="20"/>
      <c r="J272" s="20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</row>
    <row r="273" customFormat="false" ht="15.75" hidden="false" customHeight="false" outlineLevel="0" collapsed="false">
      <c r="D273" s="20"/>
      <c r="E273" s="20"/>
      <c r="I273" s="20"/>
      <c r="J273" s="20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</row>
    <row r="274" customFormat="false" ht="15.75" hidden="false" customHeight="false" outlineLevel="0" collapsed="false">
      <c r="D274" s="20"/>
      <c r="E274" s="20"/>
      <c r="I274" s="20"/>
      <c r="J274" s="20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</row>
    <row r="275" customFormat="false" ht="15.75" hidden="false" customHeight="false" outlineLevel="0" collapsed="false">
      <c r="D275" s="20"/>
      <c r="E275" s="20"/>
      <c r="I275" s="20"/>
      <c r="J275" s="20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</row>
    <row r="276" customFormat="false" ht="15.75" hidden="false" customHeight="false" outlineLevel="0" collapsed="false">
      <c r="D276" s="20"/>
      <c r="E276" s="20"/>
      <c r="I276" s="20"/>
      <c r="J276" s="20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</row>
    <row r="277" customFormat="false" ht="15.75" hidden="false" customHeight="false" outlineLevel="0" collapsed="false">
      <c r="D277" s="20"/>
      <c r="E277" s="20"/>
      <c r="I277" s="20"/>
      <c r="J277" s="20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</row>
    <row r="278" customFormat="false" ht="15.75" hidden="false" customHeight="false" outlineLevel="0" collapsed="false">
      <c r="D278" s="20"/>
      <c r="E278" s="20"/>
      <c r="I278" s="20"/>
      <c r="J278" s="20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</row>
    <row r="279" customFormat="false" ht="15.75" hidden="false" customHeight="false" outlineLevel="0" collapsed="false">
      <c r="D279" s="20"/>
      <c r="E279" s="20"/>
      <c r="I279" s="20"/>
      <c r="J279" s="20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</row>
    <row r="280" customFormat="false" ht="15.75" hidden="false" customHeight="false" outlineLevel="0" collapsed="false">
      <c r="D280" s="20"/>
      <c r="E280" s="20"/>
      <c r="I280" s="20"/>
      <c r="J280" s="20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</row>
    <row r="281" customFormat="false" ht="15.75" hidden="false" customHeight="false" outlineLevel="0" collapsed="false">
      <c r="D281" s="20"/>
      <c r="E281" s="20"/>
      <c r="I281" s="20"/>
      <c r="J281" s="20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</row>
    <row r="282" customFormat="false" ht="15.75" hidden="false" customHeight="false" outlineLevel="0" collapsed="false">
      <c r="D282" s="20"/>
      <c r="E282" s="20"/>
      <c r="I282" s="20"/>
      <c r="J282" s="20"/>
      <c r="K282" s="20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</row>
    <row r="283" customFormat="false" ht="15.75" hidden="false" customHeight="false" outlineLevel="0" collapsed="false">
      <c r="D283" s="20"/>
      <c r="E283" s="20"/>
      <c r="I283" s="20"/>
      <c r="J283" s="20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</row>
    <row r="284" customFormat="false" ht="15.75" hidden="false" customHeight="false" outlineLevel="0" collapsed="false">
      <c r="D284" s="20"/>
      <c r="E284" s="20"/>
      <c r="I284" s="20"/>
      <c r="J284" s="20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</row>
    <row r="285" customFormat="false" ht="15.75" hidden="false" customHeight="false" outlineLevel="0" collapsed="false">
      <c r="D285" s="20"/>
      <c r="E285" s="20"/>
      <c r="I285" s="20"/>
      <c r="J285" s="20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</row>
    <row r="286" customFormat="false" ht="15.75" hidden="false" customHeight="false" outlineLevel="0" collapsed="false">
      <c r="D286" s="20"/>
      <c r="E286" s="20"/>
      <c r="I286" s="20"/>
      <c r="J286" s="20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</row>
    <row r="287" customFormat="false" ht="15.75" hidden="false" customHeight="false" outlineLevel="0" collapsed="false">
      <c r="D287" s="20"/>
      <c r="E287" s="20"/>
      <c r="I287" s="20"/>
      <c r="J287" s="20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</row>
    <row r="288" customFormat="false" ht="15.75" hidden="false" customHeight="false" outlineLevel="0" collapsed="false">
      <c r="D288" s="20"/>
      <c r="E288" s="20"/>
      <c r="I288" s="20"/>
      <c r="J288" s="20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</row>
    <row r="289" customFormat="false" ht="15.75" hidden="false" customHeight="false" outlineLevel="0" collapsed="false">
      <c r="D289" s="20"/>
      <c r="E289" s="20"/>
      <c r="I289" s="20"/>
      <c r="J289" s="20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</row>
    <row r="290" customFormat="false" ht="15.75" hidden="false" customHeight="false" outlineLevel="0" collapsed="false">
      <c r="D290" s="20"/>
      <c r="E290" s="20"/>
      <c r="I290" s="20"/>
      <c r="J290" s="20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</row>
    <row r="291" customFormat="false" ht="15.75" hidden="false" customHeight="false" outlineLevel="0" collapsed="false">
      <c r="D291" s="20"/>
      <c r="E291" s="20"/>
      <c r="I291" s="20"/>
      <c r="J291" s="20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</row>
    <row r="292" customFormat="false" ht="15.75" hidden="false" customHeight="false" outlineLevel="0" collapsed="false">
      <c r="D292" s="20"/>
      <c r="E292" s="20"/>
      <c r="I292" s="20"/>
      <c r="J292" s="20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</row>
    <row r="293" customFormat="false" ht="15.75" hidden="false" customHeight="false" outlineLevel="0" collapsed="false">
      <c r="D293" s="20"/>
      <c r="E293" s="20"/>
      <c r="I293" s="20"/>
      <c r="J293" s="20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</row>
    <row r="294" customFormat="false" ht="15.75" hidden="false" customHeight="false" outlineLevel="0" collapsed="false">
      <c r="D294" s="20"/>
      <c r="E294" s="20"/>
      <c r="I294" s="20"/>
      <c r="J294" s="20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</row>
    <row r="295" customFormat="false" ht="15.75" hidden="false" customHeight="false" outlineLevel="0" collapsed="false">
      <c r="D295" s="20"/>
      <c r="E295" s="20"/>
      <c r="I295" s="20"/>
      <c r="J295" s="20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</row>
    <row r="296" customFormat="false" ht="15.75" hidden="false" customHeight="false" outlineLevel="0" collapsed="false">
      <c r="D296" s="20"/>
      <c r="E296" s="20"/>
      <c r="I296" s="20"/>
      <c r="J296" s="20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</row>
    <row r="297" customFormat="false" ht="15.75" hidden="false" customHeight="false" outlineLevel="0" collapsed="false">
      <c r="D297" s="20"/>
      <c r="E297" s="20"/>
      <c r="I297" s="20"/>
      <c r="J297" s="20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</row>
    <row r="298" customFormat="false" ht="15.75" hidden="false" customHeight="false" outlineLevel="0" collapsed="false">
      <c r="D298" s="20"/>
      <c r="E298" s="20"/>
      <c r="I298" s="20"/>
      <c r="J298" s="20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</row>
    <row r="299" customFormat="false" ht="15.75" hidden="false" customHeight="false" outlineLevel="0" collapsed="false">
      <c r="D299" s="20"/>
      <c r="E299" s="20"/>
      <c r="I299" s="20"/>
      <c r="J299" s="20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</row>
    <row r="300" customFormat="false" ht="15.75" hidden="false" customHeight="false" outlineLevel="0" collapsed="false">
      <c r="D300" s="20"/>
      <c r="E300" s="20"/>
      <c r="I300" s="20"/>
      <c r="J300" s="20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</row>
    <row r="301" customFormat="false" ht="15.75" hidden="false" customHeight="false" outlineLevel="0" collapsed="false">
      <c r="D301" s="20"/>
      <c r="E301" s="20"/>
      <c r="I301" s="20"/>
      <c r="J301" s="20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</row>
    <row r="302" customFormat="false" ht="15.75" hidden="false" customHeight="false" outlineLevel="0" collapsed="false">
      <c r="D302" s="20"/>
      <c r="E302" s="20"/>
      <c r="I302" s="20"/>
      <c r="J302" s="20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</row>
    <row r="303" customFormat="false" ht="15.75" hidden="false" customHeight="false" outlineLevel="0" collapsed="false">
      <c r="D303" s="20"/>
      <c r="E303" s="20"/>
      <c r="I303" s="20"/>
      <c r="J303" s="20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</row>
    <row r="304" customFormat="false" ht="15.75" hidden="false" customHeight="false" outlineLevel="0" collapsed="false">
      <c r="D304" s="20"/>
      <c r="E304" s="20"/>
      <c r="I304" s="20"/>
      <c r="J304" s="20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</row>
    <row r="305" customFormat="false" ht="15.75" hidden="false" customHeight="false" outlineLevel="0" collapsed="false">
      <c r="D305" s="20"/>
      <c r="E305" s="20"/>
      <c r="I305" s="20"/>
      <c r="J305" s="20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</row>
    <row r="306" customFormat="false" ht="15.75" hidden="false" customHeight="false" outlineLevel="0" collapsed="false">
      <c r="D306" s="20"/>
      <c r="E306" s="20"/>
      <c r="I306" s="20"/>
      <c r="J306" s="20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</row>
    <row r="307" customFormat="false" ht="15.75" hidden="false" customHeight="false" outlineLevel="0" collapsed="false">
      <c r="D307" s="20"/>
      <c r="E307" s="20"/>
      <c r="I307" s="20"/>
      <c r="J307" s="20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</row>
    <row r="308" customFormat="false" ht="15.75" hidden="false" customHeight="false" outlineLevel="0" collapsed="false">
      <c r="D308" s="20"/>
      <c r="E308" s="20"/>
      <c r="I308" s="20"/>
      <c r="J308" s="20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</row>
    <row r="309" customFormat="false" ht="15.75" hidden="false" customHeight="false" outlineLevel="0" collapsed="false">
      <c r="D309" s="20"/>
      <c r="E309" s="20"/>
      <c r="I309" s="20"/>
      <c r="J309" s="20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</row>
    <row r="310" customFormat="false" ht="15.75" hidden="false" customHeight="false" outlineLevel="0" collapsed="false">
      <c r="D310" s="20"/>
      <c r="E310" s="20"/>
      <c r="I310" s="20"/>
      <c r="J310" s="20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</row>
    <row r="311" customFormat="false" ht="15.75" hidden="false" customHeight="false" outlineLevel="0" collapsed="false">
      <c r="D311" s="20"/>
      <c r="E311" s="20"/>
      <c r="I311" s="20"/>
      <c r="J311" s="20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</row>
    <row r="312" customFormat="false" ht="15.75" hidden="false" customHeight="false" outlineLevel="0" collapsed="false">
      <c r="D312" s="20"/>
      <c r="E312" s="20"/>
      <c r="I312" s="20"/>
      <c r="J312" s="20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</row>
    <row r="313" customFormat="false" ht="15.75" hidden="false" customHeight="false" outlineLevel="0" collapsed="false">
      <c r="D313" s="20"/>
      <c r="E313" s="20"/>
      <c r="I313" s="20"/>
      <c r="J313" s="20"/>
      <c r="K313" s="20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</row>
    <row r="314" customFormat="false" ht="15.75" hidden="false" customHeight="false" outlineLevel="0" collapsed="false">
      <c r="D314" s="20"/>
      <c r="E314" s="20"/>
      <c r="I314" s="20"/>
      <c r="J314" s="20"/>
      <c r="K314" s="20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</row>
    <row r="315" customFormat="false" ht="15.75" hidden="false" customHeight="false" outlineLevel="0" collapsed="false">
      <c r="D315" s="20"/>
      <c r="E315" s="20"/>
      <c r="I315" s="20"/>
      <c r="J315" s="20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</row>
    <row r="316" customFormat="false" ht="15.75" hidden="false" customHeight="false" outlineLevel="0" collapsed="false">
      <c r="D316" s="20"/>
      <c r="E316" s="20"/>
      <c r="I316" s="20"/>
      <c r="J316" s="20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</row>
    <row r="317" customFormat="false" ht="15.75" hidden="false" customHeight="false" outlineLevel="0" collapsed="false">
      <c r="D317" s="20"/>
      <c r="E317" s="20"/>
      <c r="I317" s="20"/>
      <c r="J317" s="20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</row>
    <row r="318" customFormat="false" ht="15.75" hidden="false" customHeight="false" outlineLevel="0" collapsed="false">
      <c r="D318" s="20"/>
      <c r="E318" s="20"/>
      <c r="I318" s="20"/>
      <c r="J318" s="20"/>
      <c r="K318" s="20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</row>
    <row r="319" customFormat="false" ht="15.75" hidden="false" customHeight="false" outlineLevel="0" collapsed="false">
      <c r="D319" s="20"/>
      <c r="E319" s="20"/>
      <c r="I319" s="20"/>
      <c r="J319" s="20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</row>
    <row r="320" customFormat="false" ht="15.75" hidden="false" customHeight="false" outlineLevel="0" collapsed="false">
      <c r="D320" s="20"/>
      <c r="E320" s="20"/>
      <c r="I320" s="20"/>
      <c r="J320" s="20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</row>
    <row r="321" customFormat="false" ht="15.75" hidden="false" customHeight="false" outlineLevel="0" collapsed="false">
      <c r="D321" s="20"/>
      <c r="E321" s="20"/>
      <c r="I321" s="20"/>
      <c r="J321" s="20"/>
      <c r="K321" s="20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</row>
    <row r="322" customFormat="false" ht="15.75" hidden="false" customHeight="false" outlineLevel="0" collapsed="false">
      <c r="D322" s="20"/>
      <c r="E322" s="20"/>
      <c r="I322" s="20"/>
      <c r="J322" s="20"/>
      <c r="K322" s="20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</row>
    <row r="323" customFormat="false" ht="15.75" hidden="false" customHeight="false" outlineLevel="0" collapsed="false">
      <c r="D323" s="20"/>
      <c r="E323" s="20"/>
      <c r="I323" s="20"/>
      <c r="J323" s="20"/>
      <c r="K323" s="20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</row>
    <row r="324" customFormat="false" ht="15.75" hidden="false" customHeight="false" outlineLevel="0" collapsed="false">
      <c r="D324" s="20"/>
      <c r="E324" s="20"/>
      <c r="I324" s="20"/>
      <c r="J324" s="20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</row>
    <row r="325" customFormat="false" ht="15.75" hidden="false" customHeight="false" outlineLevel="0" collapsed="false">
      <c r="D325" s="20"/>
      <c r="E325" s="20"/>
      <c r="I325" s="20"/>
      <c r="J325" s="20"/>
      <c r="K325" s="20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</row>
    <row r="326" customFormat="false" ht="15.75" hidden="false" customHeight="false" outlineLevel="0" collapsed="false">
      <c r="D326" s="20"/>
      <c r="E326" s="20"/>
      <c r="I326" s="20"/>
      <c r="J326" s="20"/>
      <c r="K326" s="20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</row>
    <row r="327" customFormat="false" ht="15.75" hidden="false" customHeight="false" outlineLevel="0" collapsed="false">
      <c r="D327" s="20"/>
      <c r="E327" s="20"/>
      <c r="I327" s="20"/>
      <c r="J327" s="20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</row>
    <row r="328" customFormat="false" ht="15.75" hidden="false" customHeight="false" outlineLevel="0" collapsed="false">
      <c r="D328" s="20"/>
      <c r="E328" s="20"/>
      <c r="I328" s="20"/>
      <c r="J328" s="20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</row>
    <row r="329" customFormat="false" ht="15.75" hidden="false" customHeight="false" outlineLevel="0" collapsed="false">
      <c r="D329" s="20"/>
      <c r="E329" s="20"/>
      <c r="I329" s="20"/>
      <c r="J329" s="20"/>
      <c r="K329" s="20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</row>
    <row r="330" customFormat="false" ht="15.75" hidden="false" customHeight="false" outlineLevel="0" collapsed="false">
      <c r="D330" s="20"/>
      <c r="E330" s="20"/>
      <c r="I330" s="20"/>
      <c r="J330" s="20"/>
      <c r="K330" s="20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</row>
    <row r="331" customFormat="false" ht="15.75" hidden="false" customHeight="false" outlineLevel="0" collapsed="false">
      <c r="D331" s="20"/>
      <c r="E331" s="20"/>
      <c r="I331" s="20"/>
      <c r="J331" s="20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</row>
    <row r="332" customFormat="false" ht="15.75" hidden="false" customHeight="false" outlineLevel="0" collapsed="false">
      <c r="D332" s="20"/>
      <c r="E332" s="20"/>
      <c r="I332" s="20"/>
      <c r="J332" s="20"/>
      <c r="K332" s="20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</row>
    <row r="333" customFormat="false" ht="15.75" hidden="false" customHeight="false" outlineLevel="0" collapsed="false">
      <c r="D333" s="20"/>
      <c r="E333" s="20"/>
      <c r="I333" s="20"/>
      <c r="J333" s="20"/>
      <c r="K333" s="20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</row>
    <row r="334" customFormat="false" ht="15.75" hidden="false" customHeight="false" outlineLevel="0" collapsed="false">
      <c r="D334" s="20"/>
      <c r="E334" s="20"/>
      <c r="I334" s="20"/>
      <c r="J334" s="20"/>
      <c r="K334" s="20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</row>
    <row r="335" customFormat="false" ht="15.75" hidden="false" customHeight="false" outlineLevel="0" collapsed="false">
      <c r="D335" s="20"/>
      <c r="E335" s="20"/>
      <c r="I335" s="20"/>
      <c r="J335" s="20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</row>
    <row r="336" customFormat="false" ht="15.75" hidden="false" customHeight="false" outlineLevel="0" collapsed="false">
      <c r="D336" s="20"/>
      <c r="E336" s="20"/>
      <c r="I336" s="20"/>
      <c r="J336" s="20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</row>
    <row r="337" customFormat="false" ht="15.75" hidden="false" customHeight="false" outlineLevel="0" collapsed="false">
      <c r="D337" s="20"/>
      <c r="E337" s="20"/>
      <c r="I337" s="20"/>
      <c r="J337" s="20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</row>
    <row r="338" customFormat="false" ht="15.75" hidden="false" customHeight="false" outlineLevel="0" collapsed="false">
      <c r="D338" s="20"/>
      <c r="E338" s="20"/>
      <c r="I338" s="20"/>
      <c r="J338" s="20"/>
      <c r="K338" s="20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</row>
    <row r="339" customFormat="false" ht="15.75" hidden="false" customHeight="false" outlineLevel="0" collapsed="false">
      <c r="D339" s="20"/>
      <c r="E339" s="20"/>
      <c r="I339" s="20"/>
      <c r="J339" s="20"/>
      <c r="K339" s="20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</row>
    <row r="340" customFormat="false" ht="15.75" hidden="false" customHeight="false" outlineLevel="0" collapsed="false">
      <c r="D340" s="20"/>
      <c r="E340" s="20"/>
      <c r="I340" s="20"/>
      <c r="J340" s="20"/>
      <c r="K340" s="20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</row>
    <row r="341" customFormat="false" ht="15.75" hidden="false" customHeight="false" outlineLevel="0" collapsed="false">
      <c r="D341" s="20"/>
      <c r="E341" s="20"/>
      <c r="I341" s="20"/>
      <c r="J341" s="20"/>
      <c r="K341" s="20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</row>
    <row r="342" customFormat="false" ht="15.75" hidden="false" customHeight="false" outlineLevel="0" collapsed="false">
      <c r="D342" s="20"/>
      <c r="E342" s="20"/>
      <c r="I342" s="20"/>
      <c r="J342" s="20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</row>
    <row r="343" customFormat="false" ht="15.75" hidden="false" customHeight="false" outlineLevel="0" collapsed="false">
      <c r="D343" s="20"/>
      <c r="E343" s="20"/>
      <c r="I343" s="20"/>
      <c r="J343" s="20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</row>
    <row r="344" customFormat="false" ht="15.75" hidden="false" customHeight="false" outlineLevel="0" collapsed="false">
      <c r="D344" s="20"/>
      <c r="E344" s="20"/>
      <c r="I344" s="20"/>
      <c r="J344" s="20"/>
      <c r="K344" s="20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</row>
    <row r="345" customFormat="false" ht="15.75" hidden="false" customHeight="false" outlineLevel="0" collapsed="false">
      <c r="D345" s="20"/>
      <c r="E345" s="20"/>
      <c r="I345" s="20"/>
      <c r="J345" s="20"/>
      <c r="K345" s="20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</row>
    <row r="346" customFormat="false" ht="15.75" hidden="false" customHeight="false" outlineLevel="0" collapsed="false">
      <c r="D346" s="20"/>
      <c r="E346" s="20"/>
      <c r="I346" s="20"/>
      <c r="J346" s="20"/>
      <c r="K346" s="20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</row>
    <row r="347" customFormat="false" ht="15.75" hidden="false" customHeight="false" outlineLevel="0" collapsed="false">
      <c r="D347" s="20"/>
      <c r="E347" s="20"/>
      <c r="I347" s="20"/>
      <c r="J347" s="20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</row>
    <row r="348" customFormat="false" ht="15.75" hidden="false" customHeight="false" outlineLevel="0" collapsed="false">
      <c r="D348" s="20"/>
      <c r="E348" s="20"/>
      <c r="I348" s="20"/>
      <c r="J348" s="20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</row>
    <row r="349" customFormat="false" ht="15.75" hidden="false" customHeight="false" outlineLevel="0" collapsed="false">
      <c r="D349" s="20"/>
      <c r="E349" s="20"/>
      <c r="I349" s="20"/>
      <c r="J349" s="20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</row>
    <row r="350" customFormat="false" ht="15.75" hidden="false" customHeight="false" outlineLevel="0" collapsed="false">
      <c r="D350" s="20"/>
      <c r="E350" s="20"/>
      <c r="I350" s="20"/>
      <c r="J350" s="20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</row>
    <row r="351" customFormat="false" ht="15.75" hidden="false" customHeight="false" outlineLevel="0" collapsed="false">
      <c r="D351" s="20"/>
      <c r="E351" s="20"/>
      <c r="I351" s="20"/>
      <c r="J351" s="20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</row>
    <row r="352" customFormat="false" ht="15.75" hidden="false" customHeight="false" outlineLevel="0" collapsed="false">
      <c r="D352" s="20"/>
      <c r="E352" s="20"/>
      <c r="I352" s="20"/>
      <c r="J352" s="20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</row>
    <row r="353" customFormat="false" ht="15.75" hidden="false" customHeight="false" outlineLevel="0" collapsed="false">
      <c r="D353" s="20"/>
      <c r="E353" s="20"/>
      <c r="I353" s="20"/>
      <c r="J353" s="20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</row>
    <row r="354" customFormat="false" ht="15.75" hidden="false" customHeight="false" outlineLevel="0" collapsed="false">
      <c r="D354" s="20"/>
      <c r="E354" s="20"/>
      <c r="I354" s="20"/>
      <c r="J354" s="20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</row>
    <row r="355" customFormat="false" ht="15.75" hidden="false" customHeight="false" outlineLevel="0" collapsed="false">
      <c r="D355" s="20"/>
      <c r="E355" s="20"/>
      <c r="I355" s="20"/>
      <c r="J355" s="20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</row>
    <row r="356" customFormat="false" ht="15.75" hidden="false" customHeight="false" outlineLevel="0" collapsed="false">
      <c r="D356" s="20"/>
      <c r="E356" s="20"/>
      <c r="I356" s="20"/>
      <c r="J356" s="20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</row>
    <row r="357" customFormat="false" ht="15.75" hidden="false" customHeight="false" outlineLevel="0" collapsed="false">
      <c r="D357" s="20"/>
      <c r="E357" s="20"/>
      <c r="I357" s="20"/>
      <c r="J357" s="20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</row>
    <row r="358" customFormat="false" ht="15.75" hidden="false" customHeight="false" outlineLevel="0" collapsed="false">
      <c r="D358" s="20"/>
      <c r="E358" s="20"/>
      <c r="I358" s="20"/>
      <c r="J358" s="20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</row>
    <row r="359" customFormat="false" ht="15.75" hidden="false" customHeight="false" outlineLevel="0" collapsed="false">
      <c r="D359" s="20"/>
      <c r="E359" s="20"/>
      <c r="I359" s="20"/>
      <c r="J359" s="20"/>
      <c r="K359" s="20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</row>
    <row r="360" customFormat="false" ht="15.75" hidden="false" customHeight="false" outlineLevel="0" collapsed="false">
      <c r="D360" s="20"/>
      <c r="E360" s="20"/>
      <c r="I360" s="20"/>
      <c r="J360" s="20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</row>
    <row r="361" customFormat="false" ht="15.75" hidden="false" customHeight="false" outlineLevel="0" collapsed="false">
      <c r="D361" s="20"/>
      <c r="E361" s="20"/>
      <c r="I361" s="20"/>
      <c r="J361" s="20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</row>
    <row r="362" customFormat="false" ht="15.75" hidden="false" customHeight="false" outlineLevel="0" collapsed="false">
      <c r="D362" s="20"/>
      <c r="E362" s="20"/>
      <c r="I362" s="20"/>
      <c r="J362" s="20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</row>
    <row r="363" customFormat="false" ht="15.75" hidden="false" customHeight="false" outlineLevel="0" collapsed="false">
      <c r="D363" s="20"/>
      <c r="E363" s="20"/>
      <c r="I363" s="20"/>
      <c r="J363" s="20"/>
      <c r="K363" s="20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</row>
    <row r="364" customFormat="false" ht="15.75" hidden="false" customHeight="false" outlineLevel="0" collapsed="false">
      <c r="D364" s="20"/>
      <c r="E364" s="20"/>
      <c r="I364" s="20"/>
      <c r="J364" s="20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</row>
    <row r="365" customFormat="false" ht="15.75" hidden="false" customHeight="false" outlineLevel="0" collapsed="false">
      <c r="D365" s="20"/>
      <c r="E365" s="20"/>
      <c r="I365" s="20"/>
      <c r="J365" s="20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</row>
    <row r="366" customFormat="false" ht="15.75" hidden="false" customHeight="false" outlineLevel="0" collapsed="false">
      <c r="D366" s="20"/>
      <c r="E366" s="20"/>
      <c r="I366" s="20"/>
      <c r="J366" s="20"/>
      <c r="K366" s="20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</row>
    <row r="367" customFormat="false" ht="15.75" hidden="false" customHeight="false" outlineLevel="0" collapsed="false">
      <c r="D367" s="20"/>
      <c r="E367" s="20"/>
      <c r="I367" s="20"/>
      <c r="J367" s="20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</row>
    <row r="368" customFormat="false" ht="15.75" hidden="false" customHeight="false" outlineLevel="0" collapsed="false">
      <c r="D368" s="20"/>
      <c r="E368" s="20"/>
      <c r="I368" s="20"/>
      <c r="J368" s="20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</row>
    <row r="369" customFormat="false" ht="15.75" hidden="false" customHeight="false" outlineLevel="0" collapsed="false">
      <c r="D369" s="20"/>
      <c r="E369" s="20"/>
      <c r="I369" s="20"/>
      <c r="J369" s="20"/>
      <c r="K369" s="20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</row>
    <row r="370" customFormat="false" ht="15.75" hidden="false" customHeight="false" outlineLevel="0" collapsed="false">
      <c r="D370" s="20"/>
      <c r="E370" s="20"/>
      <c r="I370" s="20"/>
      <c r="J370" s="20"/>
      <c r="K370" s="20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</row>
    <row r="371" customFormat="false" ht="15.75" hidden="false" customHeight="false" outlineLevel="0" collapsed="false">
      <c r="D371" s="20"/>
      <c r="E371" s="20"/>
      <c r="I371" s="20"/>
      <c r="J371" s="20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</row>
    <row r="372" customFormat="false" ht="15.75" hidden="false" customHeight="false" outlineLevel="0" collapsed="false">
      <c r="D372" s="20"/>
      <c r="E372" s="20"/>
      <c r="I372" s="20"/>
      <c r="J372" s="20"/>
      <c r="K372" s="20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</row>
    <row r="373" customFormat="false" ht="15.75" hidden="false" customHeight="false" outlineLevel="0" collapsed="false">
      <c r="D373" s="20"/>
      <c r="E373" s="20"/>
      <c r="I373" s="20"/>
      <c r="J373" s="20"/>
      <c r="K373" s="20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</row>
    <row r="374" customFormat="false" ht="15.75" hidden="false" customHeight="false" outlineLevel="0" collapsed="false">
      <c r="D374" s="20"/>
      <c r="E374" s="20"/>
      <c r="I374" s="20"/>
      <c r="J374" s="20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</row>
    <row r="375" customFormat="false" ht="15.75" hidden="false" customHeight="false" outlineLevel="0" collapsed="false">
      <c r="D375" s="20"/>
      <c r="E375" s="20"/>
      <c r="I375" s="20"/>
      <c r="J375" s="20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</row>
    <row r="376" customFormat="false" ht="15.75" hidden="false" customHeight="false" outlineLevel="0" collapsed="false">
      <c r="D376" s="20"/>
      <c r="E376" s="20"/>
      <c r="I376" s="20"/>
      <c r="J376" s="20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</row>
    <row r="377" customFormat="false" ht="15.75" hidden="false" customHeight="false" outlineLevel="0" collapsed="false">
      <c r="D377" s="20"/>
      <c r="E377" s="20"/>
      <c r="I377" s="20"/>
      <c r="J377" s="20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</row>
    <row r="378" customFormat="false" ht="15.75" hidden="false" customHeight="false" outlineLevel="0" collapsed="false">
      <c r="D378" s="20"/>
      <c r="E378" s="20"/>
      <c r="I378" s="20"/>
      <c r="J378" s="20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</row>
    <row r="379" customFormat="false" ht="15.75" hidden="false" customHeight="false" outlineLevel="0" collapsed="false">
      <c r="D379" s="20"/>
      <c r="E379" s="20"/>
      <c r="I379" s="20"/>
      <c r="J379" s="20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</row>
    <row r="380" customFormat="false" ht="15.75" hidden="false" customHeight="false" outlineLevel="0" collapsed="false">
      <c r="D380" s="20"/>
      <c r="E380" s="20"/>
      <c r="I380" s="20"/>
      <c r="J380" s="20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</row>
    <row r="381" customFormat="false" ht="15.75" hidden="false" customHeight="false" outlineLevel="0" collapsed="false">
      <c r="D381" s="20"/>
      <c r="E381" s="20"/>
      <c r="I381" s="20"/>
      <c r="J381" s="20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</row>
    <row r="382" customFormat="false" ht="15.75" hidden="false" customHeight="false" outlineLevel="0" collapsed="false">
      <c r="D382" s="20"/>
      <c r="E382" s="20"/>
      <c r="I382" s="20"/>
      <c r="J382" s="20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</row>
    <row r="383" customFormat="false" ht="15.75" hidden="false" customHeight="false" outlineLevel="0" collapsed="false">
      <c r="D383" s="20"/>
      <c r="E383" s="20"/>
      <c r="I383" s="20"/>
      <c r="J383" s="20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</row>
    <row r="384" customFormat="false" ht="15.75" hidden="false" customHeight="false" outlineLevel="0" collapsed="false">
      <c r="D384" s="20"/>
      <c r="E384" s="20"/>
      <c r="I384" s="20"/>
      <c r="J384" s="20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</row>
    <row r="385" customFormat="false" ht="15.75" hidden="false" customHeight="false" outlineLevel="0" collapsed="false">
      <c r="D385" s="20"/>
      <c r="E385" s="20"/>
      <c r="I385" s="20"/>
      <c r="J385" s="20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</row>
    <row r="386" customFormat="false" ht="15.75" hidden="false" customHeight="false" outlineLevel="0" collapsed="false">
      <c r="D386" s="20"/>
      <c r="E386" s="20"/>
      <c r="I386" s="20"/>
      <c r="J386" s="20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</row>
    <row r="387" customFormat="false" ht="15.75" hidden="false" customHeight="false" outlineLevel="0" collapsed="false">
      <c r="D387" s="20"/>
      <c r="E387" s="20"/>
      <c r="I387" s="20"/>
      <c r="J387" s="20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</row>
    <row r="388" customFormat="false" ht="15.75" hidden="false" customHeight="false" outlineLevel="0" collapsed="false">
      <c r="D388" s="20"/>
      <c r="E388" s="20"/>
      <c r="I388" s="20"/>
      <c r="J388" s="20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</row>
    <row r="389" customFormat="false" ht="15.75" hidden="false" customHeight="false" outlineLevel="0" collapsed="false">
      <c r="D389" s="20"/>
      <c r="E389" s="20"/>
      <c r="I389" s="20"/>
      <c r="J389" s="20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</row>
    <row r="390" customFormat="false" ht="15.75" hidden="false" customHeight="false" outlineLevel="0" collapsed="false">
      <c r="D390" s="20"/>
      <c r="E390" s="20"/>
      <c r="I390" s="20"/>
      <c r="J390" s="20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</row>
    <row r="391" customFormat="false" ht="15.75" hidden="false" customHeight="false" outlineLevel="0" collapsed="false">
      <c r="D391" s="20"/>
      <c r="E391" s="20"/>
      <c r="I391" s="20"/>
      <c r="J391" s="20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</row>
    <row r="392" customFormat="false" ht="15.75" hidden="false" customHeight="false" outlineLevel="0" collapsed="false">
      <c r="D392" s="20"/>
      <c r="E392" s="20"/>
      <c r="I392" s="20"/>
      <c r="J392" s="20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</row>
    <row r="393" customFormat="false" ht="15.75" hidden="false" customHeight="false" outlineLevel="0" collapsed="false">
      <c r="D393" s="20"/>
      <c r="E393" s="20"/>
      <c r="I393" s="20"/>
      <c r="J393" s="20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</row>
    <row r="394" customFormat="false" ht="15.75" hidden="false" customHeight="false" outlineLevel="0" collapsed="false">
      <c r="D394" s="20"/>
      <c r="E394" s="20"/>
      <c r="I394" s="20"/>
      <c r="J394" s="20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</row>
    <row r="395" customFormat="false" ht="15.75" hidden="false" customHeight="false" outlineLevel="0" collapsed="false">
      <c r="D395" s="20"/>
      <c r="E395" s="20"/>
      <c r="I395" s="20"/>
      <c r="J395" s="20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</row>
    <row r="396" customFormat="false" ht="15.75" hidden="false" customHeight="false" outlineLevel="0" collapsed="false">
      <c r="D396" s="20"/>
      <c r="E396" s="20"/>
      <c r="I396" s="20"/>
      <c r="J396" s="20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</row>
    <row r="397" customFormat="false" ht="15.75" hidden="false" customHeight="false" outlineLevel="0" collapsed="false">
      <c r="D397" s="20"/>
      <c r="E397" s="20"/>
      <c r="I397" s="20"/>
      <c r="J397" s="20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</row>
    <row r="398" customFormat="false" ht="15.75" hidden="false" customHeight="false" outlineLevel="0" collapsed="false">
      <c r="D398" s="20"/>
      <c r="E398" s="20"/>
      <c r="I398" s="20"/>
      <c r="J398" s="20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</row>
    <row r="399" customFormat="false" ht="15.75" hidden="false" customHeight="false" outlineLevel="0" collapsed="false">
      <c r="D399" s="20"/>
      <c r="E399" s="20"/>
      <c r="I399" s="20"/>
      <c r="J399" s="20"/>
      <c r="K399" s="20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</row>
    <row r="400" customFormat="false" ht="15.75" hidden="false" customHeight="false" outlineLevel="0" collapsed="false">
      <c r="D400" s="20"/>
      <c r="E400" s="20"/>
      <c r="I400" s="20"/>
      <c r="J400" s="20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</row>
    <row r="401" customFormat="false" ht="15.75" hidden="false" customHeight="false" outlineLevel="0" collapsed="false">
      <c r="D401" s="20"/>
      <c r="E401" s="20"/>
      <c r="I401" s="20"/>
      <c r="J401" s="20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</row>
    <row r="402" customFormat="false" ht="15.75" hidden="false" customHeight="false" outlineLevel="0" collapsed="false">
      <c r="D402" s="20"/>
      <c r="E402" s="20"/>
      <c r="I402" s="20"/>
      <c r="J402" s="20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</row>
    <row r="403" customFormat="false" ht="15.75" hidden="false" customHeight="false" outlineLevel="0" collapsed="false">
      <c r="D403" s="20"/>
      <c r="E403" s="20"/>
      <c r="I403" s="20"/>
      <c r="J403" s="20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</row>
    <row r="404" customFormat="false" ht="15.75" hidden="false" customHeight="false" outlineLevel="0" collapsed="false">
      <c r="D404" s="20"/>
      <c r="E404" s="20"/>
      <c r="I404" s="20"/>
      <c r="J404" s="20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</row>
    <row r="405" customFormat="false" ht="15.75" hidden="false" customHeight="false" outlineLevel="0" collapsed="false">
      <c r="D405" s="20"/>
      <c r="E405" s="20"/>
      <c r="I405" s="20"/>
      <c r="J405" s="20"/>
      <c r="K405" s="20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</row>
    <row r="406" customFormat="false" ht="15.75" hidden="false" customHeight="false" outlineLevel="0" collapsed="false">
      <c r="D406" s="20"/>
      <c r="E406" s="20"/>
      <c r="I406" s="20"/>
      <c r="J406" s="20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</row>
    <row r="407" customFormat="false" ht="15.75" hidden="false" customHeight="false" outlineLevel="0" collapsed="false">
      <c r="D407" s="20"/>
      <c r="E407" s="20"/>
      <c r="I407" s="20"/>
      <c r="J407" s="20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</row>
    <row r="408" customFormat="false" ht="15.75" hidden="false" customHeight="false" outlineLevel="0" collapsed="false">
      <c r="D408" s="20"/>
      <c r="E408" s="20"/>
      <c r="I408" s="20"/>
      <c r="J408" s="20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</row>
    <row r="409" customFormat="false" ht="15.75" hidden="false" customHeight="false" outlineLevel="0" collapsed="false">
      <c r="D409" s="20"/>
      <c r="E409" s="20"/>
      <c r="I409" s="20"/>
      <c r="J409" s="20"/>
      <c r="K409" s="20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</row>
    <row r="410" customFormat="false" ht="15.75" hidden="false" customHeight="false" outlineLevel="0" collapsed="false">
      <c r="D410" s="20"/>
      <c r="E410" s="20"/>
      <c r="I410" s="20"/>
      <c r="J410" s="20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</row>
    <row r="411" customFormat="false" ht="15.75" hidden="false" customHeight="false" outlineLevel="0" collapsed="false">
      <c r="D411" s="20"/>
      <c r="E411" s="20"/>
      <c r="I411" s="20"/>
      <c r="J411" s="20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</row>
    <row r="412" customFormat="false" ht="15.75" hidden="false" customHeight="false" outlineLevel="0" collapsed="false">
      <c r="D412" s="20"/>
      <c r="E412" s="20"/>
      <c r="I412" s="20"/>
      <c r="J412" s="20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</row>
    <row r="413" customFormat="false" ht="15.75" hidden="false" customHeight="false" outlineLevel="0" collapsed="false">
      <c r="D413" s="20"/>
      <c r="E413" s="20"/>
      <c r="I413" s="20"/>
      <c r="J413" s="20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</row>
    <row r="414" customFormat="false" ht="15.75" hidden="false" customHeight="false" outlineLevel="0" collapsed="false">
      <c r="D414" s="20"/>
      <c r="E414" s="20"/>
      <c r="I414" s="20"/>
      <c r="J414" s="20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</row>
    <row r="415" customFormat="false" ht="15.75" hidden="false" customHeight="false" outlineLevel="0" collapsed="false">
      <c r="D415" s="20"/>
      <c r="E415" s="20"/>
      <c r="I415" s="20"/>
      <c r="J415" s="20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</row>
    <row r="416" customFormat="false" ht="15.75" hidden="false" customHeight="false" outlineLevel="0" collapsed="false">
      <c r="D416" s="20"/>
      <c r="E416" s="20"/>
      <c r="I416" s="20"/>
      <c r="J416" s="20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</row>
    <row r="417" customFormat="false" ht="15.75" hidden="false" customHeight="false" outlineLevel="0" collapsed="false">
      <c r="D417" s="20"/>
      <c r="E417" s="20"/>
      <c r="I417" s="20"/>
      <c r="J417" s="20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</row>
    <row r="418" customFormat="false" ht="15.75" hidden="false" customHeight="false" outlineLevel="0" collapsed="false">
      <c r="D418" s="20"/>
      <c r="E418" s="20"/>
      <c r="I418" s="20"/>
      <c r="J418" s="20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</row>
    <row r="419" customFormat="false" ht="15.75" hidden="false" customHeight="false" outlineLevel="0" collapsed="false">
      <c r="D419" s="20"/>
      <c r="E419" s="20"/>
      <c r="I419" s="20"/>
      <c r="J419" s="20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</row>
    <row r="420" customFormat="false" ht="15.75" hidden="false" customHeight="false" outlineLevel="0" collapsed="false">
      <c r="D420" s="20"/>
      <c r="E420" s="20"/>
      <c r="I420" s="20"/>
      <c r="J420" s="20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</row>
    <row r="421" customFormat="false" ht="15.75" hidden="false" customHeight="false" outlineLevel="0" collapsed="false">
      <c r="D421" s="20"/>
      <c r="E421" s="20"/>
      <c r="I421" s="20"/>
      <c r="J421" s="20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</row>
    <row r="422" customFormat="false" ht="15.75" hidden="false" customHeight="false" outlineLevel="0" collapsed="false">
      <c r="D422" s="20"/>
      <c r="E422" s="20"/>
      <c r="I422" s="20"/>
      <c r="J422" s="20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</row>
    <row r="423" customFormat="false" ht="15.75" hidden="false" customHeight="false" outlineLevel="0" collapsed="false">
      <c r="D423" s="20"/>
      <c r="E423" s="20"/>
      <c r="I423" s="20"/>
      <c r="J423" s="20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</row>
    <row r="424" customFormat="false" ht="15.75" hidden="false" customHeight="false" outlineLevel="0" collapsed="false">
      <c r="D424" s="20"/>
      <c r="E424" s="20"/>
      <c r="I424" s="20"/>
      <c r="J424" s="20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</row>
    <row r="425" customFormat="false" ht="15.75" hidden="false" customHeight="false" outlineLevel="0" collapsed="false">
      <c r="D425" s="20"/>
      <c r="E425" s="20"/>
      <c r="I425" s="20"/>
      <c r="J425" s="20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</row>
    <row r="426" customFormat="false" ht="15.75" hidden="false" customHeight="false" outlineLevel="0" collapsed="false">
      <c r="D426" s="20"/>
      <c r="E426" s="20"/>
      <c r="I426" s="20"/>
      <c r="J426" s="20"/>
      <c r="K426" s="20"/>
      <c r="L426" s="20"/>
      <c r="M426" s="20"/>
      <c r="N426" s="20"/>
      <c r="O426" s="20"/>
      <c r="P426" s="20"/>
      <c r="Q426" s="20"/>
      <c r="R426" s="20"/>
      <c r="S426" s="20"/>
      <c r="T426" s="20"/>
      <c r="U426" s="20"/>
      <c r="V426" s="20"/>
      <c r="W426" s="20"/>
    </row>
    <row r="427" customFormat="false" ht="15.75" hidden="false" customHeight="false" outlineLevel="0" collapsed="false">
      <c r="D427" s="20"/>
      <c r="E427" s="20"/>
      <c r="I427" s="20"/>
      <c r="J427" s="20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</row>
    <row r="428" customFormat="false" ht="15.75" hidden="false" customHeight="false" outlineLevel="0" collapsed="false">
      <c r="D428" s="20"/>
      <c r="E428" s="20"/>
      <c r="I428" s="20"/>
      <c r="J428" s="20"/>
      <c r="K428" s="20"/>
      <c r="L428" s="20"/>
      <c r="M428" s="20"/>
      <c r="N428" s="20"/>
      <c r="O428" s="20"/>
      <c r="P428" s="20"/>
      <c r="Q428" s="20"/>
      <c r="R428" s="20"/>
      <c r="S428" s="20"/>
      <c r="T428" s="20"/>
      <c r="U428" s="20"/>
      <c r="V428" s="20"/>
      <c r="W428" s="20"/>
    </row>
    <row r="429" customFormat="false" ht="15.75" hidden="false" customHeight="false" outlineLevel="0" collapsed="false">
      <c r="D429" s="20"/>
      <c r="E429" s="20"/>
      <c r="I429" s="20"/>
      <c r="J429" s="20"/>
      <c r="K429" s="20"/>
      <c r="L429" s="20"/>
      <c r="M429" s="20"/>
      <c r="N429" s="20"/>
      <c r="O429" s="20"/>
      <c r="P429" s="20"/>
      <c r="Q429" s="20"/>
      <c r="R429" s="20"/>
      <c r="S429" s="20"/>
      <c r="T429" s="20"/>
      <c r="U429" s="20"/>
      <c r="V429" s="20"/>
      <c r="W429" s="20"/>
    </row>
    <row r="430" customFormat="false" ht="15.75" hidden="false" customHeight="false" outlineLevel="0" collapsed="false">
      <c r="D430" s="20"/>
      <c r="E430" s="20"/>
      <c r="I430" s="20"/>
      <c r="J430" s="20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</row>
    <row r="431" customFormat="false" ht="15.75" hidden="false" customHeight="false" outlineLevel="0" collapsed="false">
      <c r="D431" s="20"/>
      <c r="E431" s="20"/>
      <c r="I431" s="20"/>
      <c r="J431" s="20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</row>
    <row r="432" customFormat="false" ht="15.75" hidden="false" customHeight="false" outlineLevel="0" collapsed="false">
      <c r="D432" s="20"/>
      <c r="E432" s="20"/>
      <c r="I432" s="20"/>
      <c r="J432" s="20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</row>
    <row r="433" customFormat="false" ht="15.75" hidden="false" customHeight="false" outlineLevel="0" collapsed="false">
      <c r="D433" s="20"/>
      <c r="E433" s="20"/>
      <c r="I433" s="20"/>
      <c r="J433" s="20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</row>
    <row r="434" customFormat="false" ht="15.75" hidden="false" customHeight="false" outlineLevel="0" collapsed="false">
      <c r="D434" s="20"/>
      <c r="E434" s="20"/>
      <c r="I434" s="20"/>
      <c r="J434" s="20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</row>
    <row r="435" customFormat="false" ht="15.75" hidden="false" customHeight="false" outlineLevel="0" collapsed="false">
      <c r="D435" s="20"/>
      <c r="E435" s="20"/>
      <c r="I435" s="20"/>
      <c r="J435" s="20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</row>
    <row r="436" customFormat="false" ht="15.75" hidden="false" customHeight="false" outlineLevel="0" collapsed="false">
      <c r="D436" s="20"/>
      <c r="E436" s="20"/>
      <c r="I436" s="20"/>
      <c r="J436" s="20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</row>
    <row r="437" customFormat="false" ht="15.75" hidden="false" customHeight="false" outlineLevel="0" collapsed="false">
      <c r="D437" s="20"/>
      <c r="E437" s="20"/>
      <c r="I437" s="20"/>
      <c r="J437" s="20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</row>
    <row r="438" customFormat="false" ht="15.75" hidden="false" customHeight="false" outlineLevel="0" collapsed="false">
      <c r="D438" s="20"/>
      <c r="E438" s="20"/>
      <c r="I438" s="20"/>
      <c r="J438" s="20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</row>
    <row r="439" customFormat="false" ht="15.75" hidden="false" customHeight="false" outlineLevel="0" collapsed="false">
      <c r="D439" s="20"/>
      <c r="E439" s="20"/>
      <c r="I439" s="20"/>
      <c r="J439" s="20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</row>
    <row r="440" customFormat="false" ht="15.75" hidden="false" customHeight="false" outlineLevel="0" collapsed="false">
      <c r="D440" s="20"/>
      <c r="E440" s="20"/>
      <c r="I440" s="20"/>
      <c r="J440" s="20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</row>
    <row r="441" customFormat="false" ht="15.75" hidden="false" customHeight="false" outlineLevel="0" collapsed="false">
      <c r="D441" s="20"/>
      <c r="E441" s="20"/>
      <c r="I441" s="20"/>
      <c r="J441" s="20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</row>
    <row r="442" customFormat="false" ht="15.75" hidden="false" customHeight="false" outlineLevel="0" collapsed="false">
      <c r="D442" s="20"/>
      <c r="E442" s="20"/>
      <c r="I442" s="20"/>
      <c r="J442" s="20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</row>
    <row r="443" customFormat="false" ht="15.75" hidden="false" customHeight="false" outlineLevel="0" collapsed="false">
      <c r="D443" s="20"/>
      <c r="E443" s="20"/>
      <c r="I443" s="20"/>
      <c r="J443" s="20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</row>
    <row r="444" customFormat="false" ht="15.75" hidden="false" customHeight="false" outlineLevel="0" collapsed="false">
      <c r="D444" s="20"/>
      <c r="E444" s="20"/>
      <c r="I444" s="20"/>
      <c r="J444" s="20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</row>
    <row r="445" customFormat="false" ht="15.75" hidden="false" customHeight="false" outlineLevel="0" collapsed="false">
      <c r="D445" s="20"/>
      <c r="E445" s="20"/>
      <c r="I445" s="20"/>
      <c r="J445" s="20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</row>
    <row r="446" customFormat="false" ht="15.75" hidden="false" customHeight="false" outlineLevel="0" collapsed="false">
      <c r="D446" s="20"/>
      <c r="E446" s="20"/>
      <c r="I446" s="20"/>
      <c r="J446" s="20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</row>
    <row r="447" customFormat="false" ht="15.75" hidden="false" customHeight="false" outlineLevel="0" collapsed="false">
      <c r="D447" s="20"/>
      <c r="E447" s="20"/>
      <c r="I447" s="20"/>
      <c r="J447" s="20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</row>
    <row r="448" customFormat="false" ht="15.75" hidden="false" customHeight="false" outlineLevel="0" collapsed="false">
      <c r="D448" s="20"/>
      <c r="E448" s="20"/>
      <c r="I448" s="20"/>
      <c r="J448" s="20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</row>
    <row r="449" customFormat="false" ht="15.75" hidden="false" customHeight="false" outlineLevel="0" collapsed="false">
      <c r="D449" s="20"/>
      <c r="E449" s="20"/>
      <c r="I449" s="20"/>
      <c r="J449" s="20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</row>
    <row r="450" customFormat="false" ht="15.75" hidden="false" customHeight="false" outlineLevel="0" collapsed="false">
      <c r="D450" s="20"/>
      <c r="E450" s="20"/>
      <c r="I450" s="20"/>
      <c r="J450" s="20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</row>
    <row r="451" customFormat="false" ht="15.75" hidden="false" customHeight="false" outlineLevel="0" collapsed="false">
      <c r="D451" s="20"/>
      <c r="E451" s="20"/>
      <c r="I451" s="20"/>
      <c r="J451" s="20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</row>
    <row r="452" customFormat="false" ht="15.75" hidden="false" customHeight="false" outlineLevel="0" collapsed="false">
      <c r="D452" s="20"/>
      <c r="E452" s="20"/>
      <c r="I452" s="20"/>
      <c r="J452" s="20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</row>
    <row r="453" customFormat="false" ht="15.75" hidden="false" customHeight="false" outlineLevel="0" collapsed="false">
      <c r="D453" s="20"/>
      <c r="E453" s="20"/>
      <c r="I453" s="20"/>
      <c r="J453" s="20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</row>
    <row r="454" customFormat="false" ht="15.75" hidden="false" customHeight="false" outlineLevel="0" collapsed="false">
      <c r="D454" s="20"/>
      <c r="E454" s="20"/>
      <c r="I454" s="20"/>
      <c r="J454" s="20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</row>
    <row r="455" customFormat="false" ht="15.75" hidden="false" customHeight="false" outlineLevel="0" collapsed="false">
      <c r="D455" s="20"/>
      <c r="E455" s="20"/>
      <c r="I455" s="20"/>
      <c r="J455" s="20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</row>
    <row r="456" customFormat="false" ht="15.75" hidden="false" customHeight="false" outlineLevel="0" collapsed="false">
      <c r="D456" s="20"/>
      <c r="E456" s="20"/>
      <c r="I456" s="20"/>
      <c r="J456" s="20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</row>
    <row r="457" customFormat="false" ht="15.75" hidden="false" customHeight="false" outlineLevel="0" collapsed="false">
      <c r="D457" s="20"/>
      <c r="E457" s="20"/>
      <c r="I457" s="20"/>
      <c r="J457" s="20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</row>
    <row r="458" customFormat="false" ht="15.75" hidden="false" customHeight="false" outlineLevel="0" collapsed="false">
      <c r="D458" s="20"/>
      <c r="E458" s="20"/>
      <c r="I458" s="20"/>
      <c r="J458" s="20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</row>
    <row r="459" customFormat="false" ht="15.75" hidden="false" customHeight="false" outlineLevel="0" collapsed="false">
      <c r="D459" s="20"/>
      <c r="E459" s="20"/>
      <c r="I459" s="20"/>
      <c r="J459" s="20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</row>
    <row r="460" customFormat="false" ht="15.75" hidden="false" customHeight="false" outlineLevel="0" collapsed="false">
      <c r="D460" s="20"/>
      <c r="E460" s="20"/>
      <c r="I460" s="20"/>
      <c r="J460" s="20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</row>
    <row r="461" customFormat="false" ht="15.75" hidden="false" customHeight="false" outlineLevel="0" collapsed="false">
      <c r="D461" s="20"/>
      <c r="E461" s="20"/>
      <c r="I461" s="20"/>
      <c r="J461" s="20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</row>
    <row r="462" customFormat="false" ht="15.75" hidden="false" customHeight="false" outlineLevel="0" collapsed="false">
      <c r="D462" s="20"/>
      <c r="E462" s="20"/>
      <c r="I462" s="20"/>
      <c r="J462" s="20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</row>
    <row r="463" customFormat="false" ht="15.75" hidden="false" customHeight="false" outlineLevel="0" collapsed="false">
      <c r="D463" s="20"/>
      <c r="E463" s="20"/>
      <c r="I463" s="20"/>
      <c r="J463" s="20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</row>
    <row r="464" customFormat="false" ht="15.75" hidden="false" customHeight="false" outlineLevel="0" collapsed="false">
      <c r="D464" s="20"/>
      <c r="E464" s="20"/>
      <c r="I464" s="20"/>
      <c r="J464" s="20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</row>
    <row r="465" customFormat="false" ht="15.75" hidden="false" customHeight="false" outlineLevel="0" collapsed="false">
      <c r="D465" s="20"/>
      <c r="E465" s="20"/>
      <c r="I465" s="20"/>
      <c r="J465" s="20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</row>
    <row r="466" customFormat="false" ht="15.75" hidden="false" customHeight="false" outlineLevel="0" collapsed="false">
      <c r="D466" s="20"/>
      <c r="E466" s="20"/>
      <c r="I466" s="20"/>
      <c r="J466" s="20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</row>
    <row r="467" customFormat="false" ht="15.75" hidden="false" customHeight="false" outlineLevel="0" collapsed="false">
      <c r="D467" s="20"/>
      <c r="E467" s="20"/>
      <c r="I467" s="20"/>
      <c r="J467" s="20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</row>
    <row r="468" customFormat="false" ht="15.75" hidden="false" customHeight="false" outlineLevel="0" collapsed="false">
      <c r="D468" s="20"/>
      <c r="E468" s="20"/>
      <c r="I468" s="20"/>
      <c r="J468" s="20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</row>
    <row r="469" customFormat="false" ht="15.75" hidden="false" customHeight="false" outlineLevel="0" collapsed="false">
      <c r="D469" s="20"/>
      <c r="E469" s="20"/>
      <c r="I469" s="20"/>
      <c r="J469" s="20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</row>
    <row r="470" customFormat="false" ht="15.75" hidden="false" customHeight="false" outlineLevel="0" collapsed="false">
      <c r="D470" s="20"/>
      <c r="E470" s="20"/>
      <c r="I470" s="20"/>
      <c r="J470" s="20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</row>
    <row r="471" customFormat="false" ht="15.75" hidden="false" customHeight="false" outlineLevel="0" collapsed="false">
      <c r="D471" s="20"/>
      <c r="E471" s="20"/>
      <c r="I471" s="20"/>
      <c r="J471" s="20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</row>
    <row r="472" customFormat="false" ht="15.75" hidden="false" customHeight="false" outlineLevel="0" collapsed="false">
      <c r="D472" s="20"/>
      <c r="E472" s="20"/>
      <c r="I472" s="20"/>
      <c r="J472" s="20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</row>
    <row r="473" customFormat="false" ht="15.75" hidden="false" customHeight="false" outlineLevel="0" collapsed="false">
      <c r="D473" s="20"/>
      <c r="E473" s="20"/>
      <c r="I473" s="20"/>
      <c r="J473" s="20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</row>
    <row r="474" customFormat="false" ht="15.75" hidden="false" customHeight="false" outlineLevel="0" collapsed="false">
      <c r="D474" s="20"/>
      <c r="E474" s="20"/>
      <c r="I474" s="20"/>
      <c r="J474" s="20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</row>
    <row r="475" customFormat="false" ht="15.75" hidden="false" customHeight="false" outlineLevel="0" collapsed="false">
      <c r="D475" s="20"/>
      <c r="E475" s="20"/>
      <c r="I475" s="20"/>
      <c r="J475" s="20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</row>
    <row r="476" customFormat="false" ht="15.75" hidden="false" customHeight="false" outlineLevel="0" collapsed="false">
      <c r="D476" s="20"/>
      <c r="E476" s="20"/>
      <c r="I476" s="20"/>
      <c r="J476" s="20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</row>
    <row r="477" customFormat="false" ht="15.75" hidden="false" customHeight="false" outlineLevel="0" collapsed="false">
      <c r="D477" s="20"/>
      <c r="E477" s="20"/>
      <c r="I477" s="20"/>
      <c r="J477" s="20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</row>
    <row r="478" customFormat="false" ht="15.75" hidden="false" customHeight="false" outlineLevel="0" collapsed="false">
      <c r="D478" s="20"/>
      <c r="E478" s="20"/>
      <c r="I478" s="20"/>
      <c r="J478" s="20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</row>
    <row r="479" customFormat="false" ht="15.75" hidden="false" customHeight="false" outlineLevel="0" collapsed="false">
      <c r="D479" s="20"/>
      <c r="E479" s="20"/>
      <c r="I479" s="20"/>
      <c r="J479" s="20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</row>
    <row r="480" customFormat="false" ht="15.75" hidden="false" customHeight="false" outlineLevel="0" collapsed="false">
      <c r="D480" s="20"/>
      <c r="E480" s="20"/>
      <c r="I480" s="20"/>
      <c r="J480" s="20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</row>
    <row r="481" customFormat="false" ht="15.75" hidden="false" customHeight="false" outlineLevel="0" collapsed="false">
      <c r="D481" s="20"/>
      <c r="E481" s="20"/>
      <c r="I481" s="20"/>
      <c r="J481" s="20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</row>
    <row r="482" customFormat="false" ht="15.75" hidden="false" customHeight="false" outlineLevel="0" collapsed="false">
      <c r="D482" s="20"/>
      <c r="E482" s="20"/>
      <c r="I482" s="20"/>
      <c r="J482" s="20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</row>
    <row r="483" customFormat="false" ht="15.75" hidden="false" customHeight="false" outlineLevel="0" collapsed="false">
      <c r="D483" s="20"/>
      <c r="E483" s="20"/>
      <c r="I483" s="20"/>
      <c r="J483" s="20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</row>
    <row r="484" customFormat="false" ht="15.75" hidden="false" customHeight="false" outlineLevel="0" collapsed="false">
      <c r="D484" s="20"/>
      <c r="E484" s="20"/>
      <c r="I484" s="20"/>
      <c r="J484" s="20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</row>
    <row r="485" customFormat="false" ht="15.75" hidden="false" customHeight="false" outlineLevel="0" collapsed="false">
      <c r="D485" s="20"/>
      <c r="E485" s="20"/>
      <c r="I485" s="20"/>
      <c r="J485" s="20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</row>
    <row r="486" customFormat="false" ht="15.75" hidden="false" customHeight="false" outlineLevel="0" collapsed="false">
      <c r="D486" s="20"/>
      <c r="E486" s="20"/>
      <c r="I486" s="20"/>
      <c r="J486" s="20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</row>
    <row r="487" customFormat="false" ht="15.75" hidden="false" customHeight="false" outlineLevel="0" collapsed="false">
      <c r="D487" s="20"/>
      <c r="E487" s="20"/>
      <c r="I487" s="20"/>
      <c r="J487" s="20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</row>
    <row r="488" customFormat="false" ht="15.75" hidden="false" customHeight="false" outlineLevel="0" collapsed="false">
      <c r="D488" s="20"/>
      <c r="E488" s="20"/>
      <c r="I488" s="20"/>
      <c r="J488" s="20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</row>
    <row r="489" customFormat="false" ht="15.75" hidden="false" customHeight="false" outlineLevel="0" collapsed="false">
      <c r="D489" s="20"/>
      <c r="E489" s="20"/>
      <c r="I489" s="20"/>
      <c r="J489" s="20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</row>
    <row r="490" customFormat="false" ht="15.75" hidden="false" customHeight="false" outlineLevel="0" collapsed="false">
      <c r="D490" s="20"/>
      <c r="E490" s="20"/>
      <c r="I490" s="20"/>
      <c r="J490" s="20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</row>
    <row r="491" customFormat="false" ht="15.75" hidden="false" customHeight="false" outlineLevel="0" collapsed="false">
      <c r="D491" s="20"/>
      <c r="E491" s="20"/>
      <c r="I491" s="20"/>
      <c r="J491" s="20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</row>
    <row r="492" customFormat="false" ht="15.75" hidden="false" customHeight="false" outlineLevel="0" collapsed="false">
      <c r="D492" s="20"/>
      <c r="E492" s="20"/>
      <c r="I492" s="20"/>
      <c r="J492" s="20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</row>
    <row r="493" customFormat="false" ht="15.75" hidden="false" customHeight="false" outlineLevel="0" collapsed="false">
      <c r="D493" s="20"/>
      <c r="E493" s="20"/>
      <c r="I493" s="20"/>
      <c r="J493" s="20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</row>
    <row r="494" customFormat="false" ht="15.75" hidden="false" customHeight="false" outlineLevel="0" collapsed="false">
      <c r="D494" s="20"/>
      <c r="E494" s="20"/>
      <c r="I494" s="20"/>
      <c r="J494" s="20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</row>
    <row r="495" customFormat="false" ht="15.75" hidden="false" customHeight="false" outlineLevel="0" collapsed="false">
      <c r="D495" s="20"/>
      <c r="E495" s="20"/>
      <c r="I495" s="20"/>
      <c r="J495" s="20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</row>
    <row r="496" customFormat="false" ht="15.75" hidden="false" customHeight="false" outlineLevel="0" collapsed="false">
      <c r="D496" s="20"/>
      <c r="E496" s="20"/>
      <c r="I496" s="20"/>
      <c r="J496" s="20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</row>
    <row r="497" customFormat="false" ht="15.75" hidden="false" customHeight="false" outlineLevel="0" collapsed="false">
      <c r="D497" s="20"/>
      <c r="E497" s="20"/>
      <c r="I497" s="20"/>
      <c r="J497" s="20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</row>
    <row r="498" customFormat="false" ht="15.75" hidden="false" customHeight="false" outlineLevel="0" collapsed="false">
      <c r="D498" s="20"/>
      <c r="E498" s="20"/>
      <c r="I498" s="20"/>
      <c r="J498" s="20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</row>
    <row r="499" customFormat="false" ht="15.75" hidden="false" customHeight="false" outlineLevel="0" collapsed="false">
      <c r="D499" s="20"/>
      <c r="E499" s="20"/>
      <c r="I499" s="20"/>
      <c r="J499" s="20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</row>
    <row r="500" customFormat="false" ht="15.75" hidden="false" customHeight="false" outlineLevel="0" collapsed="false">
      <c r="D500" s="20"/>
      <c r="E500" s="20"/>
      <c r="I500" s="20"/>
      <c r="J500" s="20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</row>
    <row r="501" customFormat="false" ht="15.75" hidden="false" customHeight="false" outlineLevel="0" collapsed="false">
      <c r="D501" s="20"/>
      <c r="E501" s="20"/>
      <c r="I501" s="20"/>
      <c r="J501" s="20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</row>
    <row r="502" customFormat="false" ht="15.75" hidden="false" customHeight="false" outlineLevel="0" collapsed="false">
      <c r="D502" s="20"/>
      <c r="E502" s="20"/>
      <c r="I502" s="20"/>
      <c r="J502" s="20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</row>
    <row r="503" customFormat="false" ht="15.75" hidden="false" customHeight="false" outlineLevel="0" collapsed="false">
      <c r="D503" s="20"/>
      <c r="E503" s="20"/>
      <c r="I503" s="20"/>
      <c r="J503" s="20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</row>
    <row r="504" customFormat="false" ht="15.75" hidden="false" customHeight="false" outlineLevel="0" collapsed="false">
      <c r="D504" s="20"/>
      <c r="E504" s="20"/>
      <c r="I504" s="20"/>
      <c r="J504" s="20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</row>
    <row r="505" customFormat="false" ht="15.75" hidden="false" customHeight="false" outlineLevel="0" collapsed="false">
      <c r="D505" s="20"/>
      <c r="E505" s="20"/>
      <c r="I505" s="20"/>
      <c r="J505" s="20"/>
      <c r="K505" s="20"/>
      <c r="L505" s="20"/>
      <c r="M505" s="20"/>
      <c r="N505" s="20"/>
      <c r="O505" s="20"/>
      <c r="P505" s="20"/>
      <c r="Q505" s="20"/>
      <c r="R505" s="20"/>
      <c r="S505" s="20"/>
      <c r="T505" s="20"/>
      <c r="U505" s="20"/>
      <c r="V505" s="20"/>
      <c r="W505" s="20"/>
    </row>
    <row r="506" customFormat="false" ht="15.75" hidden="false" customHeight="false" outlineLevel="0" collapsed="false">
      <c r="D506" s="20"/>
      <c r="E506" s="20"/>
      <c r="I506" s="20"/>
      <c r="J506" s="20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</row>
    <row r="507" customFormat="false" ht="15.75" hidden="false" customHeight="false" outlineLevel="0" collapsed="false">
      <c r="D507" s="20"/>
      <c r="E507" s="20"/>
      <c r="I507" s="20"/>
      <c r="J507" s="20"/>
      <c r="K507" s="20"/>
      <c r="L507" s="20"/>
      <c r="M507" s="20"/>
      <c r="N507" s="20"/>
      <c r="O507" s="20"/>
      <c r="P507" s="20"/>
      <c r="Q507" s="20"/>
      <c r="R507" s="20"/>
      <c r="S507" s="20"/>
      <c r="T507" s="20"/>
      <c r="U507" s="20"/>
      <c r="V507" s="20"/>
      <c r="W507" s="20"/>
    </row>
    <row r="508" customFormat="false" ht="15.75" hidden="false" customHeight="false" outlineLevel="0" collapsed="false">
      <c r="D508" s="20"/>
      <c r="E508" s="20"/>
      <c r="I508" s="20"/>
      <c r="J508" s="20"/>
      <c r="K508" s="20"/>
      <c r="L508" s="20"/>
      <c r="M508" s="20"/>
      <c r="N508" s="20"/>
      <c r="O508" s="20"/>
      <c r="P508" s="20"/>
      <c r="Q508" s="20"/>
      <c r="R508" s="20"/>
      <c r="S508" s="20"/>
      <c r="T508" s="20"/>
      <c r="U508" s="20"/>
      <c r="V508" s="20"/>
      <c r="W508" s="20"/>
    </row>
    <row r="509" customFormat="false" ht="15.75" hidden="false" customHeight="false" outlineLevel="0" collapsed="false">
      <c r="D509" s="20"/>
      <c r="E509" s="20"/>
      <c r="I509" s="20"/>
      <c r="J509" s="20"/>
      <c r="K509" s="20"/>
      <c r="L509" s="20"/>
      <c r="M509" s="20"/>
      <c r="N509" s="20"/>
      <c r="O509" s="20"/>
      <c r="P509" s="20"/>
      <c r="Q509" s="20"/>
      <c r="R509" s="20"/>
      <c r="S509" s="20"/>
      <c r="T509" s="20"/>
      <c r="U509" s="20"/>
      <c r="V509" s="20"/>
      <c r="W509" s="20"/>
    </row>
    <row r="510" customFormat="false" ht="15.75" hidden="false" customHeight="false" outlineLevel="0" collapsed="false">
      <c r="D510" s="20"/>
      <c r="E510" s="20"/>
      <c r="I510" s="20"/>
      <c r="J510" s="20"/>
      <c r="K510" s="20"/>
      <c r="L510" s="20"/>
      <c r="M510" s="20"/>
      <c r="N510" s="20"/>
      <c r="O510" s="20"/>
      <c r="P510" s="20"/>
      <c r="Q510" s="20"/>
      <c r="R510" s="20"/>
      <c r="S510" s="20"/>
      <c r="T510" s="20"/>
      <c r="U510" s="20"/>
      <c r="V510" s="20"/>
      <c r="W510" s="20"/>
    </row>
    <row r="511" customFormat="false" ht="15.75" hidden="false" customHeight="false" outlineLevel="0" collapsed="false">
      <c r="D511" s="20"/>
      <c r="E511" s="20"/>
      <c r="I511" s="20"/>
      <c r="J511" s="20"/>
      <c r="K511" s="20"/>
      <c r="L511" s="20"/>
      <c r="M511" s="20"/>
      <c r="N511" s="20"/>
      <c r="O511" s="20"/>
      <c r="P511" s="20"/>
      <c r="Q511" s="20"/>
      <c r="R511" s="20"/>
      <c r="S511" s="20"/>
      <c r="T511" s="20"/>
      <c r="U511" s="20"/>
      <c r="V511" s="20"/>
      <c r="W511" s="20"/>
    </row>
    <row r="512" customFormat="false" ht="15.75" hidden="false" customHeight="false" outlineLevel="0" collapsed="false">
      <c r="D512" s="20"/>
      <c r="E512" s="20"/>
      <c r="I512" s="20"/>
      <c r="J512" s="20"/>
      <c r="K512" s="20"/>
      <c r="L512" s="20"/>
      <c r="M512" s="20"/>
      <c r="N512" s="20"/>
      <c r="O512" s="20"/>
      <c r="P512" s="20"/>
      <c r="Q512" s="20"/>
      <c r="R512" s="20"/>
      <c r="S512" s="20"/>
      <c r="T512" s="20"/>
      <c r="U512" s="20"/>
      <c r="V512" s="20"/>
      <c r="W512" s="20"/>
    </row>
    <row r="513" customFormat="false" ht="15.75" hidden="false" customHeight="false" outlineLevel="0" collapsed="false">
      <c r="D513" s="20"/>
      <c r="E513" s="20"/>
      <c r="I513" s="20"/>
      <c r="J513" s="20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</row>
    <row r="514" customFormat="false" ht="15.75" hidden="false" customHeight="false" outlineLevel="0" collapsed="false">
      <c r="D514" s="20"/>
      <c r="E514" s="20"/>
      <c r="I514" s="20"/>
      <c r="J514" s="20"/>
      <c r="K514" s="20"/>
      <c r="L514" s="20"/>
      <c r="M514" s="20"/>
      <c r="N514" s="20"/>
      <c r="O514" s="20"/>
      <c r="P514" s="20"/>
      <c r="Q514" s="20"/>
      <c r="R514" s="20"/>
      <c r="S514" s="20"/>
      <c r="T514" s="20"/>
      <c r="U514" s="20"/>
      <c r="V514" s="20"/>
      <c r="W514" s="20"/>
    </row>
    <row r="515" customFormat="false" ht="15.75" hidden="false" customHeight="false" outlineLevel="0" collapsed="false">
      <c r="D515" s="20"/>
      <c r="E515" s="20"/>
      <c r="I515" s="20"/>
      <c r="J515" s="20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</row>
    <row r="516" customFormat="false" ht="15.75" hidden="false" customHeight="false" outlineLevel="0" collapsed="false">
      <c r="D516" s="20"/>
      <c r="E516" s="20"/>
      <c r="I516" s="20"/>
      <c r="J516" s="20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</row>
    <row r="517" customFormat="false" ht="15.75" hidden="false" customHeight="false" outlineLevel="0" collapsed="false">
      <c r="D517" s="20"/>
      <c r="E517" s="20"/>
      <c r="I517" s="20"/>
      <c r="J517" s="20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</row>
    <row r="518" customFormat="false" ht="15.75" hidden="false" customHeight="false" outlineLevel="0" collapsed="false">
      <c r="D518" s="20"/>
      <c r="E518" s="20"/>
      <c r="I518" s="20"/>
      <c r="J518" s="20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</row>
    <row r="519" customFormat="false" ht="15.75" hidden="false" customHeight="false" outlineLevel="0" collapsed="false">
      <c r="D519" s="20"/>
      <c r="E519" s="20"/>
      <c r="I519" s="20"/>
      <c r="J519" s="20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</row>
    <row r="520" customFormat="false" ht="15.75" hidden="false" customHeight="false" outlineLevel="0" collapsed="false">
      <c r="D520" s="20"/>
      <c r="E520" s="20"/>
      <c r="I520" s="20"/>
      <c r="J520" s="20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</row>
    <row r="521" customFormat="false" ht="15.75" hidden="false" customHeight="false" outlineLevel="0" collapsed="false">
      <c r="D521" s="20"/>
      <c r="E521" s="20"/>
      <c r="I521" s="20"/>
      <c r="J521" s="20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</row>
    <row r="522" customFormat="false" ht="15.75" hidden="false" customHeight="false" outlineLevel="0" collapsed="false">
      <c r="D522" s="20"/>
      <c r="E522" s="20"/>
      <c r="I522" s="20"/>
      <c r="J522" s="20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</row>
    <row r="523" customFormat="false" ht="15.75" hidden="false" customHeight="false" outlineLevel="0" collapsed="false">
      <c r="D523" s="20"/>
      <c r="E523" s="20"/>
      <c r="I523" s="20"/>
      <c r="J523" s="20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</row>
    <row r="524" customFormat="false" ht="15.75" hidden="false" customHeight="false" outlineLevel="0" collapsed="false">
      <c r="D524" s="20"/>
      <c r="E524" s="20"/>
      <c r="I524" s="20"/>
      <c r="J524" s="20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</row>
    <row r="525" customFormat="false" ht="15.75" hidden="false" customHeight="false" outlineLevel="0" collapsed="false">
      <c r="D525" s="20"/>
      <c r="E525" s="20"/>
      <c r="I525" s="20"/>
      <c r="J525" s="20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</row>
    <row r="526" customFormat="false" ht="15.75" hidden="false" customHeight="false" outlineLevel="0" collapsed="false">
      <c r="D526" s="20"/>
      <c r="E526" s="20"/>
      <c r="I526" s="20"/>
      <c r="J526" s="20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</row>
    <row r="527" customFormat="false" ht="15.75" hidden="false" customHeight="false" outlineLevel="0" collapsed="false">
      <c r="D527" s="20"/>
      <c r="E527" s="20"/>
      <c r="I527" s="20"/>
      <c r="J527" s="20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</row>
    <row r="528" customFormat="false" ht="15.75" hidden="false" customHeight="false" outlineLevel="0" collapsed="false">
      <c r="D528" s="20"/>
      <c r="E528" s="20"/>
      <c r="I528" s="20"/>
      <c r="J528" s="20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</row>
    <row r="529" customFormat="false" ht="15.75" hidden="false" customHeight="false" outlineLevel="0" collapsed="false">
      <c r="D529" s="20"/>
      <c r="E529" s="20"/>
      <c r="I529" s="20"/>
      <c r="J529" s="20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</row>
    <row r="530" customFormat="false" ht="15.75" hidden="false" customHeight="false" outlineLevel="0" collapsed="false">
      <c r="D530" s="20"/>
      <c r="E530" s="20"/>
      <c r="I530" s="20"/>
      <c r="J530" s="20"/>
      <c r="K530" s="20"/>
      <c r="L530" s="20"/>
      <c r="M530" s="20"/>
      <c r="N530" s="20"/>
      <c r="O530" s="20"/>
      <c r="P530" s="20"/>
      <c r="Q530" s="20"/>
      <c r="R530" s="20"/>
      <c r="S530" s="20"/>
      <c r="T530" s="20"/>
      <c r="U530" s="20"/>
      <c r="V530" s="20"/>
      <c r="W530" s="20"/>
    </row>
    <row r="531" customFormat="false" ht="15.75" hidden="false" customHeight="false" outlineLevel="0" collapsed="false">
      <c r="D531" s="20"/>
      <c r="E531" s="20"/>
      <c r="I531" s="20"/>
      <c r="J531" s="20"/>
      <c r="K531" s="20"/>
      <c r="L531" s="20"/>
      <c r="M531" s="20"/>
      <c r="N531" s="20"/>
      <c r="O531" s="20"/>
      <c r="P531" s="20"/>
      <c r="Q531" s="20"/>
      <c r="R531" s="20"/>
      <c r="S531" s="20"/>
      <c r="T531" s="20"/>
      <c r="U531" s="20"/>
      <c r="V531" s="20"/>
      <c r="W531" s="20"/>
    </row>
    <row r="532" customFormat="false" ht="15.75" hidden="false" customHeight="false" outlineLevel="0" collapsed="false">
      <c r="D532" s="20"/>
      <c r="E532" s="20"/>
      <c r="I532" s="20"/>
      <c r="J532" s="20"/>
      <c r="K532" s="20"/>
      <c r="L532" s="20"/>
      <c r="M532" s="20"/>
      <c r="N532" s="20"/>
      <c r="O532" s="20"/>
      <c r="P532" s="20"/>
      <c r="Q532" s="20"/>
      <c r="R532" s="20"/>
      <c r="S532" s="20"/>
      <c r="T532" s="20"/>
      <c r="U532" s="20"/>
      <c r="V532" s="20"/>
      <c r="W532" s="20"/>
    </row>
    <row r="533" customFormat="false" ht="15.75" hidden="false" customHeight="false" outlineLevel="0" collapsed="false">
      <c r="D533" s="20"/>
      <c r="E533" s="20"/>
      <c r="I533" s="20"/>
      <c r="J533" s="20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</row>
    <row r="534" customFormat="false" ht="15.75" hidden="false" customHeight="false" outlineLevel="0" collapsed="false">
      <c r="D534" s="20"/>
      <c r="E534" s="20"/>
      <c r="I534" s="20"/>
      <c r="J534" s="20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</row>
    <row r="535" customFormat="false" ht="15.75" hidden="false" customHeight="false" outlineLevel="0" collapsed="false">
      <c r="D535" s="20"/>
      <c r="E535" s="20"/>
      <c r="I535" s="20"/>
      <c r="J535" s="20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</row>
    <row r="536" customFormat="false" ht="15.75" hidden="false" customHeight="false" outlineLevel="0" collapsed="false">
      <c r="D536" s="20"/>
      <c r="E536" s="20"/>
      <c r="I536" s="20"/>
      <c r="J536" s="20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</row>
    <row r="537" customFormat="false" ht="15.75" hidden="false" customHeight="false" outlineLevel="0" collapsed="false">
      <c r="D537" s="20"/>
      <c r="E537" s="20"/>
      <c r="I537" s="20"/>
      <c r="J537" s="20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</row>
    <row r="538" customFormat="false" ht="15.75" hidden="false" customHeight="false" outlineLevel="0" collapsed="false">
      <c r="D538" s="20"/>
      <c r="E538" s="20"/>
      <c r="I538" s="20"/>
      <c r="J538" s="20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</row>
    <row r="539" customFormat="false" ht="15.75" hidden="false" customHeight="false" outlineLevel="0" collapsed="false">
      <c r="D539" s="20"/>
      <c r="E539" s="20"/>
      <c r="I539" s="20"/>
      <c r="J539" s="20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</row>
    <row r="540" customFormat="false" ht="15.75" hidden="false" customHeight="false" outlineLevel="0" collapsed="false">
      <c r="D540" s="20"/>
      <c r="E540" s="20"/>
      <c r="I540" s="20"/>
      <c r="J540" s="20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</row>
    <row r="541" customFormat="false" ht="15.75" hidden="false" customHeight="false" outlineLevel="0" collapsed="false">
      <c r="D541" s="20"/>
      <c r="E541" s="20"/>
      <c r="I541" s="20"/>
      <c r="J541" s="20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</row>
    <row r="542" customFormat="false" ht="15.75" hidden="false" customHeight="false" outlineLevel="0" collapsed="false">
      <c r="D542" s="20"/>
      <c r="E542" s="20"/>
      <c r="I542" s="20"/>
      <c r="J542" s="20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</row>
    <row r="543" customFormat="false" ht="15.75" hidden="false" customHeight="false" outlineLevel="0" collapsed="false">
      <c r="D543" s="20"/>
      <c r="E543" s="20"/>
      <c r="I543" s="20"/>
      <c r="J543" s="20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</row>
    <row r="544" customFormat="false" ht="15.75" hidden="false" customHeight="false" outlineLevel="0" collapsed="false">
      <c r="D544" s="20"/>
      <c r="E544" s="20"/>
      <c r="I544" s="20"/>
      <c r="J544" s="20"/>
      <c r="K544" s="20"/>
      <c r="L544" s="20"/>
      <c r="M544" s="20"/>
      <c r="N544" s="20"/>
      <c r="O544" s="20"/>
      <c r="P544" s="20"/>
      <c r="Q544" s="20"/>
      <c r="R544" s="20"/>
      <c r="S544" s="20"/>
      <c r="T544" s="20"/>
      <c r="U544" s="20"/>
      <c r="V544" s="20"/>
      <c r="W544" s="20"/>
    </row>
    <row r="545" customFormat="false" ht="15.75" hidden="false" customHeight="false" outlineLevel="0" collapsed="false">
      <c r="D545" s="20"/>
      <c r="E545" s="20"/>
      <c r="I545" s="20"/>
      <c r="J545" s="20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</row>
    <row r="546" customFormat="false" ht="15.75" hidden="false" customHeight="false" outlineLevel="0" collapsed="false">
      <c r="D546" s="20"/>
      <c r="E546" s="20"/>
      <c r="I546" s="20"/>
      <c r="J546" s="20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</row>
    <row r="547" customFormat="false" ht="15.75" hidden="false" customHeight="false" outlineLevel="0" collapsed="false">
      <c r="D547" s="20"/>
      <c r="E547" s="20"/>
      <c r="I547" s="20"/>
      <c r="J547" s="20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</row>
    <row r="548" customFormat="false" ht="15.75" hidden="false" customHeight="false" outlineLevel="0" collapsed="false">
      <c r="D548" s="20"/>
      <c r="E548" s="20"/>
      <c r="I548" s="20"/>
      <c r="J548" s="20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</row>
    <row r="549" customFormat="false" ht="15.75" hidden="false" customHeight="false" outlineLevel="0" collapsed="false">
      <c r="D549" s="20"/>
      <c r="E549" s="20"/>
      <c r="I549" s="20"/>
      <c r="J549" s="20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</row>
    <row r="550" customFormat="false" ht="15.75" hidden="false" customHeight="false" outlineLevel="0" collapsed="false">
      <c r="D550" s="20"/>
      <c r="E550" s="20"/>
      <c r="I550" s="20"/>
      <c r="J550" s="20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</row>
    <row r="551" customFormat="false" ht="15.75" hidden="false" customHeight="false" outlineLevel="0" collapsed="false">
      <c r="D551" s="20"/>
      <c r="E551" s="20"/>
      <c r="I551" s="20"/>
      <c r="J551" s="20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</row>
    <row r="552" customFormat="false" ht="15.75" hidden="false" customHeight="false" outlineLevel="0" collapsed="false">
      <c r="D552" s="20"/>
      <c r="E552" s="20"/>
      <c r="I552" s="20"/>
      <c r="J552" s="20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</row>
    <row r="553" customFormat="false" ht="15.75" hidden="false" customHeight="false" outlineLevel="0" collapsed="false">
      <c r="D553" s="20"/>
      <c r="E553" s="20"/>
      <c r="I553" s="20"/>
      <c r="J553" s="20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</row>
    <row r="554" customFormat="false" ht="15.75" hidden="false" customHeight="false" outlineLevel="0" collapsed="false">
      <c r="D554" s="20"/>
      <c r="E554" s="20"/>
      <c r="I554" s="20"/>
      <c r="J554" s="20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</row>
    <row r="555" customFormat="false" ht="15.75" hidden="false" customHeight="false" outlineLevel="0" collapsed="false">
      <c r="D555" s="20"/>
      <c r="E555" s="20"/>
      <c r="I555" s="20"/>
      <c r="J555" s="20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</row>
    <row r="556" customFormat="false" ht="15.75" hidden="false" customHeight="false" outlineLevel="0" collapsed="false">
      <c r="D556" s="20"/>
      <c r="E556" s="20"/>
      <c r="I556" s="20"/>
      <c r="J556" s="20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</row>
    <row r="557" customFormat="false" ht="15.75" hidden="false" customHeight="false" outlineLevel="0" collapsed="false">
      <c r="D557" s="20"/>
      <c r="E557" s="20"/>
      <c r="I557" s="20"/>
      <c r="J557" s="20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</row>
    <row r="558" customFormat="false" ht="15.75" hidden="false" customHeight="false" outlineLevel="0" collapsed="false">
      <c r="D558" s="20"/>
      <c r="E558" s="20"/>
      <c r="I558" s="20"/>
      <c r="J558" s="20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</row>
    <row r="559" customFormat="false" ht="15.75" hidden="false" customHeight="false" outlineLevel="0" collapsed="false">
      <c r="D559" s="20"/>
      <c r="E559" s="20"/>
      <c r="I559" s="20"/>
      <c r="J559" s="20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</row>
    <row r="560" customFormat="false" ht="15.75" hidden="false" customHeight="false" outlineLevel="0" collapsed="false">
      <c r="D560" s="20"/>
      <c r="E560" s="20"/>
      <c r="I560" s="20"/>
      <c r="J560" s="20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</row>
    <row r="561" customFormat="false" ht="15.75" hidden="false" customHeight="false" outlineLevel="0" collapsed="false">
      <c r="D561" s="20"/>
      <c r="E561" s="20"/>
      <c r="I561" s="20"/>
      <c r="J561" s="20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</row>
    <row r="562" customFormat="false" ht="15.75" hidden="false" customHeight="false" outlineLevel="0" collapsed="false">
      <c r="D562" s="20"/>
      <c r="E562" s="20"/>
      <c r="I562" s="20"/>
      <c r="J562" s="20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</row>
    <row r="563" customFormat="false" ht="15.75" hidden="false" customHeight="false" outlineLevel="0" collapsed="false">
      <c r="D563" s="20"/>
      <c r="E563" s="20"/>
      <c r="I563" s="20"/>
      <c r="J563" s="20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</row>
    <row r="564" customFormat="false" ht="15.75" hidden="false" customHeight="false" outlineLevel="0" collapsed="false">
      <c r="D564" s="20"/>
      <c r="E564" s="20"/>
      <c r="I564" s="20"/>
      <c r="J564" s="20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</row>
    <row r="565" customFormat="false" ht="15.75" hidden="false" customHeight="false" outlineLevel="0" collapsed="false">
      <c r="D565" s="20"/>
      <c r="E565" s="20"/>
      <c r="I565" s="20"/>
      <c r="J565" s="20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</row>
    <row r="566" customFormat="false" ht="15.75" hidden="false" customHeight="false" outlineLevel="0" collapsed="false">
      <c r="D566" s="20"/>
      <c r="E566" s="20"/>
      <c r="I566" s="20"/>
      <c r="J566" s="20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</row>
    <row r="567" customFormat="false" ht="15.75" hidden="false" customHeight="false" outlineLevel="0" collapsed="false">
      <c r="D567" s="20"/>
      <c r="E567" s="20"/>
      <c r="I567" s="20"/>
      <c r="J567" s="20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</row>
    <row r="568" customFormat="false" ht="15.75" hidden="false" customHeight="false" outlineLevel="0" collapsed="false">
      <c r="D568" s="20"/>
      <c r="E568" s="20"/>
      <c r="I568" s="20"/>
      <c r="J568" s="20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</row>
    <row r="569" customFormat="false" ht="15.75" hidden="false" customHeight="false" outlineLevel="0" collapsed="false">
      <c r="D569" s="20"/>
      <c r="E569" s="20"/>
      <c r="I569" s="20"/>
      <c r="J569" s="20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</row>
    <row r="570" customFormat="false" ht="15.75" hidden="false" customHeight="false" outlineLevel="0" collapsed="false">
      <c r="D570" s="20"/>
      <c r="E570" s="20"/>
      <c r="I570" s="20"/>
      <c r="J570" s="20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</row>
    <row r="571" customFormat="false" ht="15.75" hidden="false" customHeight="false" outlineLevel="0" collapsed="false">
      <c r="D571" s="20"/>
      <c r="E571" s="20"/>
      <c r="I571" s="20"/>
      <c r="J571" s="20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</row>
    <row r="572" customFormat="false" ht="15.75" hidden="false" customHeight="false" outlineLevel="0" collapsed="false">
      <c r="D572" s="20"/>
      <c r="E572" s="20"/>
      <c r="I572" s="20"/>
      <c r="J572" s="20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</row>
    <row r="573" customFormat="false" ht="15.75" hidden="false" customHeight="false" outlineLevel="0" collapsed="false">
      <c r="D573" s="20"/>
      <c r="E573" s="20"/>
      <c r="I573" s="20"/>
      <c r="J573" s="20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</row>
    <row r="574" customFormat="false" ht="15.75" hidden="false" customHeight="false" outlineLevel="0" collapsed="false">
      <c r="D574" s="20"/>
      <c r="E574" s="20"/>
      <c r="I574" s="20"/>
      <c r="J574" s="20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</row>
    <row r="575" customFormat="false" ht="15.75" hidden="false" customHeight="false" outlineLevel="0" collapsed="false">
      <c r="D575" s="20"/>
      <c r="E575" s="20"/>
      <c r="I575" s="20"/>
      <c r="J575" s="20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</row>
    <row r="576" customFormat="false" ht="15.75" hidden="false" customHeight="false" outlineLevel="0" collapsed="false">
      <c r="D576" s="20"/>
      <c r="E576" s="20"/>
      <c r="I576" s="20"/>
      <c r="J576" s="20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</row>
    <row r="577" customFormat="false" ht="15.75" hidden="false" customHeight="false" outlineLevel="0" collapsed="false">
      <c r="D577" s="20"/>
      <c r="E577" s="20"/>
      <c r="I577" s="20"/>
      <c r="J577" s="20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</row>
    <row r="578" customFormat="false" ht="15.75" hidden="false" customHeight="false" outlineLevel="0" collapsed="false">
      <c r="D578" s="20"/>
      <c r="E578" s="20"/>
      <c r="I578" s="20"/>
      <c r="J578" s="20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</row>
    <row r="579" customFormat="false" ht="15.75" hidden="false" customHeight="false" outlineLevel="0" collapsed="false">
      <c r="D579" s="20"/>
      <c r="E579" s="20"/>
      <c r="I579" s="20"/>
      <c r="J579" s="20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</row>
    <row r="580" customFormat="false" ht="15.75" hidden="false" customHeight="false" outlineLevel="0" collapsed="false">
      <c r="D580" s="20"/>
      <c r="E580" s="20"/>
      <c r="I580" s="20"/>
      <c r="J580" s="20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</row>
    <row r="581" customFormat="false" ht="15.75" hidden="false" customHeight="false" outlineLevel="0" collapsed="false">
      <c r="D581" s="20"/>
      <c r="E581" s="20"/>
      <c r="I581" s="20"/>
      <c r="J581" s="20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</row>
    <row r="582" customFormat="false" ht="15.75" hidden="false" customHeight="false" outlineLevel="0" collapsed="false">
      <c r="D582" s="20"/>
      <c r="E582" s="20"/>
      <c r="I582" s="20"/>
      <c r="J582" s="20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</row>
    <row r="583" customFormat="false" ht="15.75" hidden="false" customHeight="false" outlineLevel="0" collapsed="false">
      <c r="D583" s="20"/>
      <c r="E583" s="20"/>
      <c r="I583" s="20"/>
      <c r="J583" s="20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</row>
    <row r="584" customFormat="false" ht="15.75" hidden="false" customHeight="false" outlineLevel="0" collapsed="false">
      <c r="D584" s="20"/>
      <c r="E584" s="20"/>
      <c r="I584" s="20"/>
      <c r="J584" s="20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</row>
    <row r="585" customFormat="false" ht="15.75" hidden="false" customHeight="false" outlineLevel="0" collapsed="false">
      <c r="D585" s="20"/>
      <c r="E585" s="20"/>
      <c r="I585" s="20"/>
      <c r="J585" s="20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</row>
    <row r="586" customFormat="false" ht="15.75" hidden="false" customHeight="false" outlineLevel="0" collapsed="false">
      <c r="D586" s="20"/>
      <c r="E586" s="20"/>
      <c r="I586" s="20"/>
      <c r="J586" s="20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</row>
    <row r="587" customFormat="false" ht="15.75" hidden="false" customHeight="false" outlineLevel="0" collapsed="false">
      <c r="D587" s="20"/>
      <c r="E587" s="20"/>
      <c r="I587" s="20"/>
      <c r="J587" s="20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</row>
    <row r="588" customFormat="false" ht="15.75" hidden="false" customHeight="false" outlineLevel="0" collapsed="false">
      <c r="D588" s="20"/>
      <c r="E588" s="20"/>
      <c r="I588" s="20"/>
      <c r="J588" s="20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</row>
    <row r="589" customFormat="false" ht="15.75" hidden="false" customHeight="false" outlineLevel="0" collapsed="false">
      <c r="D589" s="20"/>
      <c r="E589" s="20"/>
      <c r="I589" s="20"/>
      <c r="J589" s="20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</row>
    <row r="590" customFormat="false" ht="15.75" hidden="false" customHeight="false" outlineLevel="0" collapsed="false">
      <c r="D590" s="20"/>
      <c r="E590" s="20"/>
      <c r="I590" s="20"/>
      <c r="J590" s="20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</row>
    <row r="591" customFormat="false" ht="15.75" hidden="false" customHeight="false" outlineLevel="0" collapsed="false">
      <c r="D591" s="20"/>
      <c r="E591" s="20"/>
      <c r="I591" s="20"/>
      <c r="J591" s="20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</row>
    <row r="592" customFormat="false" ht="15.75" hidden="false" customHeight="false" outlineLevel="0" collapsed="false">
      <c r="D592" s="20"/>
      <c r="E592" s="20"/>
      <c r="I592" s="20"/>
      <c r="J592" s="20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/>
      <c r="V592" s="20"/>
      <c r="W592" s="20"/>
    </row>
    <row r="593" customFormat="false" ht="15.75" hidden="false" customHeight="false" outlineLevel="0" collapsed="false">
      <c r="D593" s="20"/>
      <c r="E593" s="20"/>
      <c r="I593" s="20"/>
      <c r="J593" s="20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</row>
    <row r="594" customFormat="false" ht="15.75" hidden="false" customHeight="false" outlineLevel="0" collapsed="false">
      <c r="D594" s="20"/>
      <c r="E594" s="20"/>
      <c r="I594" s="20"/>
      <c r="J594" s="20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</row>
    <row r="595" customFormat="false" ht="15.75" hidden="false" customHeight="false" outlineLevel="0" collapsed="false">
      <c r="D595" s="20"/>
      <c r="E595" s="20"/>
      <c r="I595" s="20"/>
      <c r="J595" s="20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</row>
    <row r="596" customFormat="false" ht="15.75" hidden="false" customHeight="false" outlineLevel="0" collapsed="false">
      <c r="D596" s="20"/>
      <c r="E596" s="20"/>
      <c r="I596" s="20"/>
      <c r="J596" s="20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</row>
    <row r="597" customFormat="false" ht="15.75" hidden="false" customHeight="false" outlineLevel="0" collapsed="false">
      <c r="D597" s="20"/>
      <c r="E597" s="20"/>
      <c r="I597" s="20"/>
      <c r="J597" s="20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</row>
    <row r="598" customFormat="false" ht="15.75" hidden="false" customHeight="false" outlineLevel="0" collapsed="false">
      <c r="D598" s="20"/>
      <c r="E598" s="20"/>
      <c r="I598" s="20"/>
      <c r="J598" s="20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/>
      <c r="V598" s="20"/>
      <c r="W598" s="20"/>
    </row>
    <row r="599" customFormat="false" ht="15.75" hidden="false" customHeight="false" outlineLevel="0" collapsed="false">
      <c r="D599" s="20"/>
      <c r="E599" s="20"/>
      <c r="I599" s="20"/>
      <c r="J599" s="20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</row>
    <row r="600" customFormat="false" ht="15.75" hidden="false" customHeight="false" outlineLevel="0" collapsed="false">
      <c r="D600" s="20"/>
      <c r="E600" s="20"/>
      <c r="I600" s="20"/>
      <c r="J600" s="20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/>
      <c r="V600" s="20"/>
      <c r="W600" s="20"/>
    </row>
    <row r="601" customFormat="false" ht="15.75" hidden="false" customHeight="false" outlineLevel="0" collapsed="false">
      <c r="D601" s="20"/>
      <c r="E601" s="20"/>
      <c r="I601" s="20"/>
      <c r="J601" s="20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/>
      <c r="V601" s="20"/>
      <c r="W601" s="20"/>
    </row>
    <row r="602" customFormat="false" ht="15.75" hidden="false" customHeight="false" outlineLevel="0" collapsed="false">
      <c r="D602" s="20"/>
      <c r="E602" s="20"/>
      <c r="I602" s="20"/>
      <c r="J602" s="20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</row>
    <row r="603" customFormat="false" ht="15.75" hidden="false" customHeight="false" outlineLevel="0" collapsed="false">
      <c r="D603" s="20"/>
      <c r="E603" s="20"/>
      <c r="I603" s="20"/>
      <c r="J603" s="20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</row>
    <row r="604" customFormat="false" ht="15.75" hidden="false" customHeight="false" outlineLevel="0" collapsed="false">
      <c r="D604" s="20"/>
      <c r="E604" s="20"/>
      <c r="I604" s="20"/>
      <c r="J604" s="20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/>
      <c r="V604" s="20"/>
      <c r="W604" s="20"/>
    </row>
    <row r="605" customFormat="false" ht="15.75" hidden="false" customHeight="false" outlineLevel="0" collapsed="false">
      <c r="D605" s="20"/>
      <c r="E605" s="20"/>
      <c r="I605" s="20"/>
      <c r="J605" s="20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/>
      <c r="V605" s="20"/>
      <c r="W605" s="20"/>
    </row>
    <row r="606" customFormat="false" ht="15.75" hidden="false" customHeight="false" outlineLevel="0" collapsed="false">
      <c r="D606" s="20"/>
      <c r="E606" s="20"/>
      <c r="I606" s="20"/>
      <c r="J606" s="20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</row>
    <row r="607" customFormat="false" ht="15.75" hidden="false" customHeight="false" outlineLevel="0" collapsed="false">
      <c r="D607" s="20"/>
      <c r="E607" s="20"/>
      <c r="I607" s="20"/>
      <c r="J607" s="20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</row>
    <row r="608" customFormat="false" ht="15.75" hidden="false" customHeight="false" outlineLevel="0" collapsed="false">
      <c r="D608" s="20"/>
      <c r="E608" s="20"/>
      <c r="I608" s="20"/>
      <c r="J608" s="20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</row>
    <row r="609" customFormat="false" ht="15.75" hidden="false" customHeight="false" outlineLevel="0" collapsed="false">
      <c r="D609" s="20"/>
      <c r="E609" s="20"/>
      <c r="I609" s="20"/>
      <c r="J609" s="20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</row>
    <row r="610" customFormat="false" ht="15.75" hidden="false" customHeight="false" outlineLevel="0" collapsed="false">
      <c r="D610" s="20"/>
      <c r="E610" s="20"/>
      <c r="I610" s="20"/>
      <c r="J610" s="20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</row>
    <row r="611" customFormat="false" ht="15.75" hidden="false" customHeight="false" outlineLevel="0" collapsed="false">
      <c r="D611" s="20"/>
      <c r="E611" s="20"/>
      <c r="I611" s="20"/>
      <c r="J611" s="20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</row>
    <row r="612" customFormat="false" ht="15.75" hidden="false" customHeight="false" outlineLevel="0" collapsed="false">
      <c r="D612" s="20"/>
      <c r="E612" s="20"/>
      <c r="I612" s="20"/>
      <c r="J612" s="20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</row>
    <row r="613" customFormat="false" ht="15.75" hidden="false" customHeight="false" outlineLevel="0" collapsed="false">
      <c r="D613" s="20"/>
      <c r="E613" s="20"/>
      <c r="I613" s="20"/>
      <c r="J613" s="20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</row>
    <row r="614" customFormat="false" ht="15.75" hidden="false" customHeight="false" outlineLevel="0" collapsed="false">
      <c r="D614" s="20"/>
      <c r="E614" s="20"/>
      <c r="I614" s="20"/>
      <c r="J614" s="20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</row>
    <row r="615" customFormat="false" ht="15.75" hidden="false" customHeight="false" outlineLevel="0" collapsed="false">
      <c r="D615" s="20"/>
      <c r="E615" s="20"/>
      <c r="I615" s="20"/>
      <c r="J615" s="20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</row>
    <row r="616" customFormat="false" ht="15.75" hidden="false" customHeight="false" outlineLevel="0" collapsed="false">
      <c r="D616" s="20"/>
      <c r="E616" s="20"/>
      <c r="I616" s="20"/>
      <c r="J616" s="20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</row>
    <row r="617" customFormat="false" ht="15.75" hidden="false" customHeight="false" outlineLevel="0" collapsed="false">
      <c r="D617" s="20"/>
      <c r="E617" s="20"/>
      <c r="I617" s="20"/>
      <c r="J617" s="20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</row>
    <row r="618" customFormat="false" ht="15.75" hidden="false" customHeight="false" outlineLevel="0" collapsed="false">
      <c r="D618" s="20"/>
      <c r="E618" s="20"/>
      <c r="I618" s="20"/>
      <c r="J618" s="20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</row>
    <row r="619" customFormat="false" ht="15.75" hidden="false" customHeight="false" outlineLevel="0" collapsed="false">
      <c r="D619" s="20"/>
      <c r="E619" s="20"/>
      <c r="I619" s="20"/>
      <c r="J619" s="20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</row>
    <row r="620" customFormat="false" ht="15.75" hidden="false" customHeight="false" outlineLevel="0" collapsed="false">
      <c r="D620" s="20"/>
      <c r="E620" s="20"/>
      <c r="I620" s="20"/>
      <c r="J620" s="20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</row>
    <row r="621" customFormat="false" ht="15.75" hidden="false" customHeight="false" outlineLevel="0" collapsed="false">
      <c r="D621" s="20"/>
      <c r="E621" s="20"/>
      <c r="I621" s="20"/>
      <c r="J621" s="20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</row>
    <row r="622" customFormat="false" ht="15.75" hidden="false" customHeight="false" outlineLevel="0" collapsed="false">
      <c r="D622" s="20"/>
      <c r="E622" s="20"/>
      <c r="I622" s="20"/>
      <c r="J622" s="20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</row>
    <row r="623" customFormat="false" ht="15.75" hidden="false" customHeight="false" outlineLevel="0" collapsed="false">
      <c r="D623" s="20"/>
      <c r="E623" s="20"/>
      <c r="I623" s="20"/>
      <c r="J623" s="20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</row>
    <row r="624" customFormat="false" ht="15.75" hidden="false" customHeight="false" outlineLevel="0" collapsed="false">
      <c r="D624" s="20"/>
      <c r="E624" s="20"/>
      <c r="I624" s="20"/>
      <c r="J624" s="20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</row>
    <row r="625" customFormat="false" ht="15.75" hidden="false" customHeight="false" outlineLevel="0" collapsed="false">
      <c r="D625" s="20"/>
      <c r="E625" s="20"/>
      <c r="I625" s="20"/>
      <c r="J625" s="20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</row>
    <row r="626" customFormat="false" ht="15.75" hidden="false" customHeight="false" outlineLevel="0" collapsed="false">
      <c r="D626" s="20"/>
      <c r="E626" s="20"/>
      <c r="I626" s="20"/>
      <c r="J626" s="20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</row>
    <row r="627" customFormat="false" ht="15.75" hidden="false" customHeight="false" outlineLevel="0" collapsed="false">
      <c r="D627" s="20"/>
      <c r="E627" s="20"/>
      <c r="I627" s="20"/>
      <c r="J627" s="20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</row>
    <row r="628" customFormat="false" ht="15.75" hidden="false" customHeight="false" outlineLevel="0" collapsed="false">
      <c r="D628" s="20"/>
      <c r="E628" s="20"/>
      <c r="I628" s="20"/>
      <c r="J628" s="20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</row>
    <row r="629" customFormat="false" ht="15.75" hidden="false" customHeight="false" outlineLevel="0" collapsed="false">
      <c r="D629" s="20"/>
      <c r="E629" s="20"/>
      <c r="I629" s="20"/>
      <c r="J629" s="20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</row>
    <row r="630" customFormat="false" ht="15.75" hidden="false" customHeight="false" outlineLevel="0" collapsed="false">
      <c r="D630" s="20"/>
      <c r="E630" s="20"/>
      <c r="I630" s="20"/>
      <c r="J630" s="20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</row>
    <row r="631" customFormat="false" ht="15.75" hidden="false" customHeight="false" outlineLevel="0" collapsed="false">
      <c r="D631" s="20"/>
      <c r="E631" s="20"/>
      <c r="I631" s="20"/>
      <c r="J631" s="20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</row>
    <row r="632" customFormat="false" ht="15.75" hidden="false" customHeight="false" outlineLevel="0" collapsed="false">
      <c r="D632" s="20"/>
      <c r="E632" s="20"/>
      <c r="I632" s="20"/>
      <c r="J632" s="20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</row>
    <row r="633" customFormat="false" ht="15.75" hidden="false" customHeight="false" outlineLevel="0" collapsed="false">
      <c r="D633" s="20"/>
      <c r="E633" s="20"/>
      <c r="I633" s="20"/>
      <c r="J633" s="20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</row>
    <row r="634" customFormat="false" ht="15.75" hidden="false" customHeight="false" outlineLevel="0" collapsed="false">
      <c r="D634" s="20"/>
      <c r="E634" s="20"/>
      <c r="I634" s="20"/>
      <c r="J634" s="20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</row>
    <row r="635" customFormat="false" ht="15.75" hidden="false" customHeight="false" outlineLevel="0" collapsed="false">
      <c r="D635" s="20"/>
      <c r="E635" s="20"/>
      <c r="I635" s="20"/>
      <c r="J635" s="20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</row>
    <row r="636" customFormat="false" ht="15.75" hidden="false" customHeight="false" outlineLevel="0" collapsed="false">
      <c r="D636" s="20"/>
      <c r="E636" s="20"/>
      <c r="I636" s="20"/>
      <c r="J636" s="20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</row>
    <row r="637" customFormat="false" ht="15.75" hidden="false" customHeight="false" outlineLevel="0" collapsed="false">
      <c r="D637" s="20"/>
      <c r="E637" s="20"/>
      <c r="I637" s="20"/>
      <c r="J637" s="20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</row>
    <row r="638" customFormat="false" ht="15.75" hidden="false" customHeight="false" outlineLevel="0" collapsed="false">
      <c r="D638" s="20"/>
      <c r="E638" s="20"/>
      <c r="I638" s="20"/>
      <c r="J638" s="20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</row>
    <row r="639" customFormat="false" ht="15.75" hidden="false" customHeight="false" outlineLevel="0" collapsed="false">
      <c r="D639" s="20"/>
      <c r="E639" s="20"/>
      <c r="I639" s="20"/>
      <c r="J639" s="20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</row>
    <row r="640" customFormat="false" ht="15.75" hidden="false" customHeight="false" outlineLevel="0" collapsed="false">
      <c r="D640" s="20"/>
      <c r="E640" s="20"/>
      <c r="I640" s="20"/>
      <c r="J640" s="20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</row>
    <row r="641" customFormat="false" ht="15.75" hidden="false" customHeight="false" outlineLevel="0" collapsed="false">
      <c r="D641" s="20"/>
      <c r="E641" s="20"/>
      <c r="I641" s="20"/>
      <c r="J641" s="20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</row>
    <row r="642" customFormat="false" ht="15.75" hidden="false" customHeight="false" outlineLevel="0" collapsed="false">
      <c r="D642" s="20"/>
      <c r="E642" s="20"/>
      <c r="I642" s="20"/>
      <c r="J642" s="20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/>
      <c r="V642" s="20"/>
      <c r="W642" s="20"/>
    </row>
    <row r="643" customFormat="false" ht="15.75" hidden="false" customHeight="false" outlineLevel="0" collapsed="false">
      <c r="D643" s="20"/>
      <c r="E643" s="20"/>
      <c r="I643" s="20"/>
      <c r="J643" s="20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/>
      <c r="V643" s="20"/>
      <c r="W643" s="20"/>
    </row>
    <row r="644" customFormat="false" ht="15.75" hidden="false" customHeight="false" outlineLevel="0" collapsed="false">
      <c r="D644" s="20"/>
      <c r="E644" s="20"/>
      <c r="I644" s="20"/>
      <c r="J644" s="20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</row>
    <row r="645" customFormat="false" ht="15.75" hidden="false" customHeight="false" outlineLevel="0" collapsed="false">
      <c r="D645" s="20"/>
      <c r="E645" s="20"/>
      <c r="I645" s="20"/>
      <c r="J645" s="20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/>
      <c r="V645" s="20"/>
      <c r="W645" s="20"/>
    </row>
    <row r="646" customFormat="false" ht="15.75" hidden="false" customHeight="false" outlineLevel="0" collapsed="false">
      <c r="D646" s="20"/>
      <c r="E646" s="20"/>
      <c r="I646" s="20"/>
      <c r="J646" s="20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/>
      <c r="V646" s="20"/>
      <c r="W646" s="20"/>
    </row>
    <row r="647" customFormat="false" ht="15.75" hidden="false" customHeight="false" outlineLevel="0" collapsed="false">
      <c r="D647" s="20"/>
      <c r="E647" s="20"/>
      <c r="I647" s="20"/>
      <c r="J647" s="20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/>
      <c r="V647" s="20"/>
      <c r="W647" s="20"/>
    </row>
    <row r="648" customFormat="false" ht="15.75" hidden="false" customHeight="false" outlineLevel="0" collapsed="false">
      <c r="D648" s="20"/>
      <c r="E648" s="20"/>
      <c r="I648" s="20"/>
      <c r="J648" s="20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/>
      <c r="V648" s="20"/>
      <c r="W648" s="20"/>
    </row>
    <row r="649" customFormat="false" ht="15.75" hidden="false" customHeight="false" outlineLevel="0" collapsed="false">
      <c r="D649" s="20"/>
      <c r="E649" s="20"/>
      <c r="I649" s="20"/>
      <c r="J649" s="20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</row>
    <row r="650" customFormat="false" ht="15.75" hidden="false" customHeight="false" outlineLevel="0" collapsed="false">
      <c r="D650" s="20"/>
      <c r="E650" s="20"/>
      <c r="I650" s="20"/>
      <c r="J650" s="20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</row>
    <row r="651" customFormat="false" ht="15.75" hidden="false" customHeight="false" outlineLevel="0" collapsed="false">
      <c r="D651" s="20"/>
      <c r="E651" s="20"/>
      <c r="I651" s="20"/>
      <c r="J651" s="20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</row>
    <row r="652" customFormat="false" ht="15.75" hidden="false" customHeight="false" outlineLevel="0" collapsed="false">
      <c r="D652" s="20"/>
      <c r="E652" s="20"/>
      <c r="I652" s="20"/>
      <c r="J652" s="20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</row>
    <row r="653" customFormat="false" ht="15.75" hidden="false" customHeight="false" outlineLevel="0" collapsed="false">
      <c r="D653" s="20"/>
      <c r="E653" s="20"/>
      <c r="I653" s="20"/>
      <c r="J653" s="20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</row>
    <row r="654" customFormat="false" ht="15.75" hidden="false" customHeight="false" outlineLevel="0" collapsed="false">
      <c r="D654" s="20"/>
      <c r="E654" s="20"/>
      <c r="I654" s="20"/>
      <c r="J654" s="20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</row>
    <row r="655" customFormat="false" ht="15.75" hidden="false" customHeight="false" outlineLevel="0" collapsed="false">
      <c r="D655" s="20"/>
      <c r="E655" s="20"/>
      <c r="I655" s="20"/>
      <c r="J655" s="20"/>
      <c r="K655" s="20"/>
      <c r="L655" s="20"/>
      <c r="M655" s="20"/>
      <c r="N655" s="20"/>
      <c r="O655" s="20"/>
      <c r="P655" s="20"/>
      <c r="Q655" s="20"/>
      <c r="R655" s="20"/>
      <c r="S655" s="20"/>
      <c r="T655" s="20"/>
      <c r="U655" s="20"/>
      <c r="V655" s="20"/>
      <c r="W655" s="20"/>
    </row>
    <row r="656" customFormat="false" ht="15.75" hidden="false" customHeight="false" outlineLevel="0" collapsed="false">
      <c r="D656" s="20"/>
      <c r="E656" s="20"/>
      <c r="I656" s="20"/>
      <c r="J656" s="20"/>
      <c r="K656" s="20"/>
      <c r="L656" s="20"/>
      <c r="M656" s="20"/>
      <c r="N656" s="20"/>
      <c r="O656" s="20"/>
      <c r="P656" s="20"/>
      <c r="Q656" s="20"/>
      <c r="R656" s="20"/>
      <c r="S656" s="20"/>
      <c r="T656" s="20"/>
      <c r="U656" s="20"/>
      <c r="V656" s="20"/>
      <c r="W656" s="20"/>
    </row>
    <row r="657" customFormat="false" ht="15.75" hidden="false" customHeight="false" outlineLevel="0" collapsed="false">
      <c r="D657" s="20"/>
      <c r="E657" s="20"/>
      <c r="I657" s="20"/>
      <c r="J657" s="20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</row>
    <row r="658" customFormat="false" ht="15.75" hidden="false" customHeight="false" outlineLevel="0" collapsed="false">
      <c r="D658" s="20"/>
      <c r="E658" s="20"/>
      <c r="I658" s="20"/>
      <c r="J658" s="20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</row>
    <row r="659" customFormat="false" ht="15.75" hidden="false" customHeight="false" outlineLevel="0" collapsed="false">
      <c r="D659" s="20"/>
      <c r="E659" s="20"/>
      <c r="I659" s="20"/>
      <c r="J659" s="20"/>
      <c r="K659" s="20"/>
      <c r="L659" s="20"/>
      <c r="M659" s="20"/>
      <c r="N659" s="20"/>
      <c r="O659" s="20"/>
      <c r="P659" s="20"/>
      <c r="Q659" s="20"/>
      <c r="R659" s="20"/>
      <c r="S659" s="20"/>
      <c r="T659" s="20"/>
      <c r="U659" s="20"/>
      <c r="V659" s="20"/>
      <c r="W659" s="20"/>
    </row>
    <row r="660" customFormat="false" ht="15.75" hidden="false" customHeight="false" outlineLevel="0" collapsed="false">
      <c r="D660" s="20"/>
      <c r="E660" s="20"/>
      <c r="I660" s="20"/>
      <c r="J660" s="20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</row>
    <row r="661" customFormat="false" ht="15.75" hidden="false" customHeight="false" outlineLevel="0" collapsed="false">
      <c r="D661" s="20"/>
      <c r="E661" s="20"/>
      <c r="I661" s="20"/>
      <c r="J661" s="20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</row>
    <row r="662" customFormat="false" ht="15.75" hidden="false" customHeight="false" outlineLevel="0" collapsed="false">
      <c r="D662" s="20"/>
      <c r="E662" s="20"/>
      <c r="I662" s="20"/>
      <c r="J662" s="20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</row>
    <row r="663" customFormat="false" ht="15.75" hidden="false" customHeight="false" outlineLevel="0" collapsed="false">
      <c r="D663" s="20"/>
      <c r="E663" s="20"/>
      <c r="I663" s="20"/>
      <c r="J663" s="20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</row>
    <row r="664" customFormat="false" ht="15.75" hidden="false" customHeight="false" outlineLevel="0" collapsed="false">
      <c r="D664" s="20"/>
      <c r="E664" s="20"/>
      <c r="I664" s="20"/>
      <c r="J664" s="20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</row>
    <row r="665" customFormat="false" ht="15.75" hidden="false" customHeight="false" outlineLevel="0" collapsed="false">
      <c r="D665" s="20"/>
      <c r="E665" s="20"/>
      <c r="I665" s="20"/>
      <c r="J665" s="20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</row>
    <row r="666" customFormat="false" ht="15.75" hidden="false" customHeight="false" outlineLevel="0" collapsed="false">
      <c r="D666" s="20"/>
      <c r="E666" s="20"/>
      <c r="I666" s="20"/>
      <c r="J666" s="20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</row>
    <row r="667" customFormat="false" ht="15.75" hidden="false" customHeight="false" outlineLevel="0" collapsed="false">
      <c r="D667" s="20"/>
      <c r="E667" s="20"/>
      <c r="I667" s="20"/>
      <c r="J667" s="20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</row>
    <row r="668" customFormat="false" ht="15.75" hidden="false" customHeight="false" outlineLevel="0" collapsed="false">
      <c r="D668" s="20"/>
      <c r="E668" s="20"/>
      <c r="I668" s="20"/>
      <c r="J668" s="20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</row>
    <row r="669" customFormat="false" ht="15.75" hidden="false" customHeight="false" outlineLevel="0" collapsed="false">
      <c r="D669" s="20"/>
      <c r="E669" s="20"/>
      <c r="I669" s="20"/>
      <c r="J669" s="20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</row>
    <row r="670" customFormat="false" ht="15.75" hidden="false" customHeight="false" outlineLevel="0" collapsed="false">
      <c r="D670" s="20"/>
      <c r="E670" s="20"/>
      <c r="I670" s="20"/>
      <c r="J670" s="20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</row>
    <row r="671" customFormat="false" ht="15.75" hidden="false" customHeight="false" outlineLevel="0" collapsed="false">
      <c r="D671" s="20"/>
      <c r="E671" s="20"/>
      <c r="I671" s="20"/>
      <c r="J671" s="20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</row>
    <row r="672" customFormat="false" ht="15.75" hidden="false" customHeight="false" outlineLevel="0" collapsed="false">
      <c r="D672" s="20"/>
      <c r="E672" s="20"/>
      <c r="I672" s="20"/>
      <c r="J672" s="20"/>
      <c r="K672" s="20"/>
      <c r="L672" s="20"/>
      <c r="M672" s="20"/>
      <c r="N672" s="20"/>
      <c r="O672" s="20"/>
      <c r="P672" s="20"/>
      <c r="Q672" s="20"/>
      <c r="R672" s="20"/>
      <c r="S672" s="20"/>
      <c r="T672" s="20"/>
      <c r="U672" s="20"/>
      <c r="V672" s="20"/>
      <c r="W672" s="20"/>
    </row>
    <row r="673" customFormat="false" ht="15.75" hidden="false" customHeight="false" outlineLevel="0" collapsed="false">
      <c r="D673" s="20"/>
      <c r="E673" s="20"/>
      <c r="I673" s="20"/>
      <c r="J673" s="20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</row>
    <row r="674" customFormat="false" ht="15.75" hidden="false" customHeight="false" outlineLevel="0" collapsed="false">
      <c r="D674" s="20"/>
      <c r="E674" s="20"/>
      <c r="I674" s="20"/>
      <c r="J674" s="20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/>
      <c r="V674" s="20"/>
      <c r="W674" s="20"/>
    </row>
    <row r="675" customFormat="false" ht="15.75" hidden="false" customHeight="false" outlineLevel="0" collapsed="false">
      <c r="D675" s="20"/>
      <c r="E675" s="20"/>
      <c r="I675" s="20"/>
      <c r="J675" s="20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</row>
    <row r="676" customFormat="false" ht="15.75" hidden="false" customHeight="false" outlineLevel="0" collapsed="false">
      <c r="D676" s="20"/>
      <c r="E676" s="20"/>
      <c r="I676" s="20"/>
      <c r="J676" s="20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</row>
    <row r="677" customFormat="false" ht="15.75" hidden="false" customHeight="false" outlineLevel="0" collapsed="false">
      <c r="D677" s="20"/>
      <c r="E677" s="20"/>
      <c r="I677" s="20"/>
      <c r="J677" s="20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</row>
    <row r="678" customFormat="false" ht="15.75" hidden="false" customHeight="false" outlineLevel="0" collapsed="false">
      <c r="D678" s="20"/>
      <c r="E678" s="20"/>
      <c r="I678" s="20"/>
      <c r="J678" s="20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</row>
    <row r="679" customFormat="false" ht="15.75" hidden="false" customHeight="false" outlineLevel="0" collapsed="false">
      <c r="D679" s="20"/>
      <c r="E679" s="20"/>
      <c r="I679" s="20"/>
      <c r="J679" s="20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</row>
    <row r="680" customFormat="false" ht="15.75" hidden="false" customHeight="false" outlineLevel="0" collapsed="false">
      <c r="D680" s="20"/>
      <c r="E680" s="20"/>
      <c r="I680" s="20"/>
      <c r="J680" s="20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/>
      <c r="V680" s="20"/>
      <c r="W680" s="20"/>
    </row>
    <row r="681" customFormat="false" ht="15.75" hidden="false" customHeight="false" outlineLevel="0" collapsed="false">
      <c r="D681" s="20"/>
      <c r="E681" s="20"/>
      <c r="I681" s="20"/>
      <c r="J681" s="20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</row>
    <row r="682" customFormat="false" ht="15.75" hidden="false" customHeight="false" outlineLevel="0" collapsed="false">
      <c r="D682" s="20"/>
      <c r="E682" s="20"/>
      <c r="I682" s="20"/>
      <c r="J682" s="20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</row>
    <row r="683" customFormat="false" ht="15.75" hidden="false" customHeight="false" outlineLevel="0" collapsed="false">
      <c r="D683" s="20"/>
      <c r="E683" s="20"/>
      <c r="I683" s="20"/>
      <c r="J683" s="20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</row>
    <row r="684" customFormat="false" ht="15.75" hidden="false" customHeight="false" outlineLevel="0" collapsed="false">
      <c r="D684" s="20"/>
      <c r="E684" s="20"/>
      <c r="I684" s="20"/>
      <c r="J684" s="20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</row>
    <row r="685" customFormat="false" ht="15.75" hidden="false" customHeight="false" outlineLevel="0" collapsed="false">
      <c r="D685" s="20"/>
      <c r="E685" s="20"/>
      <c r="I685" s="20"/>
      <c r="J685" s="20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</row>
    <row r="686" customFormat="false" ht="15.75" hidden="false" customHeight="false" outlineLevel="0" collapsed="false">
      <c r="D686" s="20"/>
      <c r="E686" s="20"/>
      <c r="I686" s="20"/>
      <c r="J686" s="20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</row>
    <row r="687" customFormat="false" ht="15.75" hidden="false" customHeight="false" outlineLevel="0" collapsed="false">
      <c r="D687" s="20"/>
      <c r="E687" s="20"/>
      <c r="I687" s="20"/>
      <c r="J687" s="20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</row>
    <row r="688" customFormat="false" ht="15.75" hidden="false" customHeight="false" outlineLevel="0" collapsed="false">
      <c r="D688" s="20"/>
      <c r="E688" s="20"/>
      <c r="I688" s="20"/>
      <c r="J688" s="20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</row>
    <row r="689" customFormat="false" ht="15.75" hidden="false" customHeight="false" outlineLevel="0" collapsed="false">
      <c r="D689" s="20"/>
      <c r="E689" s="20"/>
      <c r="I689" s="20"/>
      <c r="J689" s="20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</row>
    <row r="690" customFormat="false" ht="15.75" hidden="false" customHeight="false" outlineLevel="0" collapsed="false">
      <c r="D690" s="20"/>
      <c r="E690" s="20"/>
      <c r="I690" s="20"/>
      <c r="J690" s="20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</row>
    <row r="691" customFormat="false" ht="15.75" hidden="false" customHeight="false" outlineLevel="0" collapsed="false">
      <c r="D691" s="20"/>
      <c r="E691" s="20"/>
      <c r="I691" s="20"/>
      <c r="J691" s="20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</row>
    <row r="692" customFormat="false" ht="15.75" hidden="false" customHeight="false" outlineLevel="0" collapsed="false">
      <c r="D692" s="20"/>
      <c r="E692" s="20"/>
      <c r="I692" s="20"/>
      <c r="J692" s="20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</row>
    <row r="693" customFormat="false" ht="15.75" hidden="false" customHeight="false" outlineLevel="0" collapsed="false">
      <c r="D693" s="20"/>
      <c r="E693" s="20"/>
      <c r="I693" s="20"/>
      <c r="J693" s="20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</row>
    <row r="694" customFormat="false" ht="15.75" hidden="false" customHeight="false" outlineLevel="0" collapsed="false">
      <c r="D694" s="20"/>
      <c r="E694" s="20"/>
      <c r="I694" s="20"/>
      <c r="J694" s="20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</row>
    <row r="695" customFormat="false" ht="15.75" hidden="false" customHeight="false" outlineLevel="0" collapsed="false">
      <c r="D695" s="20"/>
      <c r="E695" s="20"/>
      <c r="I695" s="20"/>
      <c r="J695" s="20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</row>
    <row r="696" customFormat="false" ht="15.75" hidden="false" customHeight="false" outlineLevel="0" collapsed="false">
      <c r="D696" s="20"/>
      <c r="E696" s="20"/>
      <c r="I696" s="20"/>
      <c r="J696" s="20"/>
      <c r="K696" s="20"/>
      <c r="L696" s="20"/>
      <c r="M696" s="20"/>
      <c r="N696" s="20"/>
      <c r="O696" s="20"/>
      <c r="P696" s="20"/>
      <c r="Q696" s="20"/>
      <c r="R696" s="20"/>
      <c r="S696" s="20"/>
      <c r="T696" s="20"/>
      <c r="U696" s="20"/>
      <c r="V696" s="20"/>
      <c r="W696" s="20"/>
    </row>
    <row r="697" customFormat="false" ht="15.75" hidden="false" customHeight="false" outlineLevel="0" collapsed="false">
      <c r="D697" s="20"/>
      <c r="E697" s="20"/>
      <c r="I697" s="20"/>
      <c r="J697" s="20"/>
      <c r="K697" s="20"/>
      <c r="L697" s="20"/>
      <c r="M697" s="20"/>
      <c r="N697" s="20"/>
      <c r="O697" s="20"/>
      <c r="P697" s="20"/>
      <c r="Q697" s="20"/>
      <c r="R697" s="20"/>
      <c r="S697" s="20"/>
      <c r="T697" s="20"/>
      <c r="U697" s="20"/>
      <c r="V697" s="20"/>
      <c r="W697" s="20"/>
    </row>
    <row r="698" customFormat="false" ht="15.75" hidden="false" customHeight="false" outlineLevel="0" collapsed="false">
      <c r="D698" s="20"/>
      <c r="E698" s="20"/>
      <c r="I698" s="20"/>
      <c r="J698" s="20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</row>
    <row r="699" customFormat="false" ht="15.75" hidden="false" customHeight="false" outlineLevel="0" collapsed="false">
      <c r="D699" s="20"/>
      <c r="E699" s="20"/>
      <c r="I699" s="20"/>
      <c r="J699" s="20"/>
      <c r="K699" s="20"/>
      <c r="L699" s="20"/>
      <c r="M699" s="20"/>
      <c r="N699" s="20"/>
      <c r="O699" s="20"/>
      <c r="P699" s="20"/>
      <c r="Q699" s="20"/>
      <c r="R699" s="20"/>
      <c r="S699" s="20"/>
      <c r="T699" s="20"/>
      <c r="U699" s="20"/>
      <c r="V699" s="20"/>
      <c r="W699" s="20"/>
    </row>
    <row r="700" customFormat="false" ht="15.75" hidden="false" customHeight="false" outlineLevel="0" collapsed="false">
      <c r="D700" s="20"/>
      <c r="E700" s="20"/>
      <c r="I700" s="20"/>
      <c r="J700" s="20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</row>
    <row r="701" customFormat="false" ht="15.75" hidden="false" customHeight="false" outlineLevel="0" collapsed="false">
      <c r="D701" s="20"/>
      <c r="E701" s="20"/>
      <c r="I701" s="20"/>
      <c r="J701" s="20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</row>
    <row r="702" customFormat="false" ht="15.75" hidden="false" customHeight="false" outlineLevel="0" collapsed="false">
      <c r="D702" s="20"/>
      <c r="E702" s="20"/>
      <c r="I702" s="20"/>
      <c r="J702" s="20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</row>
    <row r="703" customFormat="false" ht="15.75" hidden="false" customHeight="false" outlineLevel="0" collapsed="false">
      <c r="D703" s="20"/>
      <c r="E703" s="20"/>
      <c r="I703" s="20"/>
      <c r="J703" s="20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</row>
    <row r="704" customFormat="false" ht="15.75" hidden="false" customHeight="false" outlineLevel="0" collapsed="false">
      <c r="D704" s="20"/>
      <c r="E704" s="20"/>
      <c r="I704" s="20"/>
      <c r="J704" s="20"/>
      <c r="K704" s="20"/>
      <c r="L704" s="20"/>
      <c r="M704" s="20"/>
      <c r="N704" s="20"/>
      <c r="O704" s="20"/>
      <c r="P704" s="20"/>
      <c r="Q704" s="20"/>
      <c r="R704" s="20"/>
      <c r="S704" s="20"/>
      <c r="T704" s="20"/>
      <c r="U704" s="20"/>
      <c r="V704" s="20"/>
      <c r="W704" s="20"/>
    </row>
    <row r="705" customFormat="false" ht="15.75" hidden="false" customHeight="false" outlineLevel="0" collapsed="false">
      <c r="D705" s="20"/>
      <c r="E705" s="20"/>
      <c r="I705" s="20"/>
      <c r="J705" s="20"/>
      <c r="K705" s="20"/>
      <c r="L705" s="20"/>
      <c r="M705" s="20"/>
      <c r="N705" s="20"/>
      <c r="O705" s="20"/>
      <c r="P705" s="20"/>
      <c r="Q705" s="20"/>
      <c r="R705" s="20"/>
      <c r="S705" s="20"/>
      <c r="T705" s="20"/>
      <c r="U705" s="20"/>
      <c r="V705" s="20"/>
      <c r="W705" s="20"/>
    </row>
    <row r="706" customFormat="false" ht="15.75" hidden="false" customHeight="false" outlineLevel="0" collapsed="false">
      <c r="D706" s="20"/>
      <c r="E706" s="20"/>
      <c r="I706" s="20"/>
      <c r="J706" s="20"/>
      <c r="K706" s="20"/>
      <c r="L706" s="20"/>
      <c r="M706" s="20"/>
      <c r="N706" s="20"/>
      <c r="O706" s="20"/>
      <c r="P706" s="20"/>
      <c r="Q706" s="20"/>
      <c r="R706" s="20"/>
      <c r="S706" s="20"/>
      <c r="T706" s="20"/>
      <c r="U706" s="20"/>
      <c r="V706" s="20"/>
      <c r="W706" s="20"/>
    </row>
    <row r="707" customFormat="false" ht="15.75" hidden="false" customHeight="false" outlineLevel="0" collapsed="false">
      <c r="D707" s="20"/>
      <c r="E707" s="20"/>
      <c r="I707" s="20"/>
      <c r="J707" s="20"/>
      <c r="K707" s="20"/>
      <c r="L707" s="20"/>
      <c r="M707" s="20"/>
      <c r="N707" s="20"/>
      <c r="O707" s="20"/>
      <c r="P707" s="20"/>
      <c r="Q707" s="20"/>
      <c r="R707" s="20"/>
      <c r="S707" s="20"/>
      <c r="T707" s="20"/>
      <c r="U707" s="20"/>
      <c r="V707" s="20"/>
      <c r="W707" s="20"/>
    </row>
    <row r="708" customFormat="false" ht="15.75" hidden="false" customHeight="false" outlineLevel="0" collapsed="false">
      <c r="D708" s="20"/>
      <c r="E708" s="20"/>
      <c r="I708" s="20"/>
      <c r="J708" s="20"/>
      <c r="K708" s="20"/>
      <c r="L708" s="20"/>
      <c r="M708" s="20"/>
      <c r="N708" s="20"/>
      <c r="O708" s="20"/>
      <c r="P708" s="20"/>
      <c r="Q708" s="20"/>
      <c r="R708" s="20"/>
      <c r="S708" s="20"/>
      <c r="T708" s="20"/>
      <c r="U708" s="20"/>
      <c r="V708" s="20"/>
      <c r="W708" s="20"/>
    </row>
    <row r="709" customFormat="false" ht="15.75" hidden="false" customHeight="false" outlineLevel="0" collapsed="false">
      <c r="D709" s="20"/>
      <c r="E709" s="20"/>
      <c r="I709" s="20"/>
      <c r="J709" s="20"/>
      <c r="K709" s="20"/>
      <c r="L709" s="20"/>
      <c r="M709" s="20"/>
      <c r="N709" s="20"/>
      <c r="O709" s="20"/>
      <c r="P709" s="20"/>
      <c r="Q709" s="20"/>
      <c r="R709" s="20"/>
      <c r="S709" s="20"/>
      <c r="T709" s="20"/>
      <c r="U709" s="20"/>
      <c r="V709" s="20"/>
      <c r="W709" s="20"/>
    </row>
    <row r="710" customFormat="false" ht="15.75" hidden="false" customHeight="false" outlineLevel="0" collapsed="false">
      <c r="D710" s="20"/>
      <c r="E710" s="20"/>
      <c r="I710" s="20"/>
      <c r="J710" s="20"/>
      <c r="K710" s="20"/>
      <c r="L710" s="20"/>
      <c r="M710" s="20"/>
      <c r="N710" s="20"/>
      <c r="O710" s="20"/>
      <c r="P710" s="20"/>
      <c r="Q710" s="20"/>
      <c r="R710" s="20"/>
      <c r="S710" s="20"/>
      <c r="T710" s="20"/>
      <c r="U710" s="20"/>
      <c r="V710" s="20"/>
      <c r="W710" s="20"/>
    </row>
    <row r="711" customFormat="false" ht="15.75" hidden="false" customHeight="false" outlineLevel="0" collapsed="false">
      <c r="D711" s="20"/>
      <c r="E711" s="20"/>
      <c r="I711" s="20"/>
      <c r="J711" s="20"/>
      <c r="K711" s="20"/>
      <c r="L711" s="20"/>
      <c r="M711" s="20"/>
      <c r="N711" s="20"/>
      <c r="O711" s="20"/>
      <c r="P711" s="20"/>
      <c r="Q711" s="20"/>
      <c r="R711" s="20"/>
      <c r="S711" s="20"/>
      <c r="T711" s="20"/>
      <c r="U711" s="20"/>
      <c r="V711" s="20"/>
      <c r="W711" s="20"/>
    </row>
    <row r="712" customFormat="false" ht="15.75" hidden="false" customHeight="false" outlineLevel="0" collapsed="false">
      <c r="D712" s="20"/>
      <c r="E712" s="20"/>
      <c r="I712" s="20"/>
      <c r="J712" s="20"/>
      <c r="K712" s="20"/>
      <c r="L712" s="20"/>
      <c r="M712" s="20"/>
      <c r="N712" s="20"/>
      <c r="O712" s="20"/>
      <c r="P712" s="20"/>
      <c r="Q712" s="20"/>
      <c r="R712" s="20"/>
      <c r="S712" s="20"/>
      <c r="T712" s="20"/>
      <c r="U712" s="20"/>
      <c r="V712" s="20"/>
      <c r="W712" s="20"/>
    </row>
    <row r="713" customFormat="false" ht="15.75" hidden="false" customHeight="false" outlineLevel="0" collapsed="false">
      <c r="D713" s="20"/>
      <c r="E713" s="20"/>
      <c r="I713" s="20"/>
      <c r="J713" s="20"/>
      <c r="K713" s="20"/>
      <c r="L713" s="20"/>
      <c r="M713" s="20"/>
      <c r="N713" s="20"/>
      <c r="O713" s="20"/>
      <c r="P713" s="20"/>
      <c r="Q713" s="20"/>
      <c r="R713" s="20"/>
      <c r="S713" s="20"/>
      <c r="T713" s="20"/>
      <c r="U713" s="20"/>
      <c r="V713" s="20"/>
      <c r="W713" s="20"/>
    </row>
    <row r="714" customFormat="false" ht="15.75" hidden="false" customHeight="false" outlineLevel="0" collapsed="false">
      <c r="D714" s="20"/>
      <c r="E714" s="20"/>
      <c r="I714" s="20"/>
      <c r="J714" s="20"/>
      <c r="K714" s="20"/>
      <c r="L714" s="20"/>
      <c r="M714" s="20"/>
      <c r="N714" s="20"/>
      <c r="O714" s="20"/>
      <c r="P714" s="20"/>
      <c r="Q714" s="20"/>
      <c r="R714" s="20"/>
      <c r="S714" s="20"/>
      <c r="T714" s="20"/>
      <c r="U714" s="20"/>
      <c r="V714" s="20"/>
      <c r="W714" s="20"/>
    </row>
    <row r="715" customFormat="false" ht="15.75" hidden="false" customHeight="false" outlineLevel="0" collapsed="false">
      <c r="D715" s="20"/>
      <c r="E715" s="20"/>
      <c r="I715" s="20"/>
      <c r="J715" s="20"/>
      <c r="K715" s="20"/>
      <c r="L715" s="20"/>
      <c r="M715" s="20"/>
      <c r="N715" s="20"/>
      <c r="O715" s="20"/>
      <c r="P715" s="20"/>
      <c r="Q715" s="20"/>
      <c r="R715" s="20"/>
      <c r="S715" s="20"/>
      <c r="T715" s="20"/>
      <c r="U715" s="20"/>
      <c r="V715" s="20"/>
      <c r="W715" s="20"/>
    </row>
    <row r="716" customFormat="false" ht="15.75" hidden="false" customHeight="false" outlineLevel="0" collapsed="false">
      <c r="D716" s="20"/>
      <c r="E716" s="20"/>
      <c r="I716" s="20"/>
      <c r="J716" s="20"/>
      <c r="K716" s="20"/>
      <c r="L716" s="20"/>
      <c r="M716" s="20"/>
      <c r="N716" s="20"/>
      <c r="O716" s="20"/>
      <c r="P716" s="20"/>
      <c r="Q716" s="20"/>
      <c r="R716" s="20"/>
      <c r="S716" s="20"/>
      <c r="T716" s="20"/>
      <c r="U716" s="20"/>
      <c r="V716" s="20"/>
      <c r="W716" s="20"/>
    </row>
    <row r="717" customFormat="false" ht="15.75" hidden="false" customHeight="false" outlineLevel="0" collapsed="false">
      <c r="D717" s="20"/>
      <c r="E717" s="20"/>
      <c r="I717" s="20"/>
      <c r="J717" s="20"/>
      <c r="K717" s="20"/>
      <c r="L717" s="20"/>
      <c r="M717" s="20"/>
      <c r="N717" s="20"/>
      <c r="O717" s="20"/>
      <c r="P717" s="20"/>
      <c r="Q717" s="20"/>
      <c r="R717" s="20"/>
      <c r="S717" s="20"/>
      <c r="T717" s="20"/>
      <c r="U717" s="20"/>
      <c r="V717" s="20"/>
      <c r="W717" s="20"/>
    </row>
    <row r="718" customFormat="false" ht="15.75" hidden="false" customHeight="false" outlineLevel="0" collapsed="false">
      <c r="D718" s="20"/>
      <c r="E718" s="20"/>
      <c r="I718" s="20"/>
      <c r="J718" s="20"/>
      <c r="K718" s="20"/>
      <c r="L718" s="20"/>
      <c r="M718" s="20"/>
      <c r="N718" s="20"/>
      <c r="O718" s="20"/>
      <c r="P718" s="20"/>
      <c r="Q718" s="20"/>
      <c r="R718" s="20"/>
      <c r="S718" s="20"/>
      <c r="T718" s="20"/>
      <c r="U718" s="20"/>
      <c r="V718" s="20"/>
      <c r="W718" s="20"/>
    </row>
    <row r="719" customFormat="false" ht="15.75" hidden="false" customHeight="false" outlineLevel="0" collapsed="false">
      <c r="D719" s="20"/>
      <c r="E719" s="20"/>
      <c r="I719" s="20"/>
      <c r="J719" s="20"/>
      <c r="K719" s="20"/>
      <c r="L719" s="20"/>
      <c r="M719" s="20"/>
      <c r="N719" s="20"/>
      <c r="O719" s="20"/>
      <c r="P719" s="20"/>
      <c r="Q719" s="20"/>
      <c r="R719" s="20"/>
      <c r="S719" s="20"/>
      <c r="T719" s="20"/>
      <c r="U719" s="20"/>
      <c r="V719" s="20"/>
      <c r="W719" s="20"/>
    </row>
    <row r="720" customFormat="false" ht="15.75" hidden="false" customHeight="false" outlineLevel="0" collapsed="false">
      <c r="D720" s="20"/>
      <c r="E720" s="20"/>
      <c r="I720" s="20"/>
      <c r="J720" s="20"/>
      <c r="K720" s="20"/>
      <c r="L720" s="20"/>
      <c r="M720" s="20"/>
      <c r="N720" s="20"/>
      <c r="O720" s="20"/>
      <c r="P720" s="20"/>
      <c r="Q720" s="20"/>
      <c r="R720" s="20"/>
      <c r="S720" s="20"/>
      <c r="T720" s="20"/>
      <c r="U720" s="20"/>
      <c r="V720" s="20"/>
      <c r="W720" s="20"/>
    </row>
    <row r="721" customFormat="false" ht="15.75" hidden="false" customHeight="false" outlineLevel="0" collapsed="false">
      <c r="D721" s="20"/>
      <c r="E721" s="20"/>
      <c r="I721" s="20"/>
      <c r="J721" s="20"/>
      <c r="K721" s="20"/>
      <c r="L721" s="20"/>
      <c r="M721" s="20"/>
      <c r="N721" s="20"/>
      <c r="O721" s="20"/>
      <c r="P721" s="20"/>
      <c r="Q721" s="20"/>
      <c r="R721" s="20"/>
      <c r="S721" s="20"/>
      <c r="T721" s="20"/>
      <c r="U721" s="20"/>
      <c r="V721" s="20"/>
      <c r="W721" s="20"/>
    </row>
    <row r="722" customFormat="false" ht="15.75" hidden="false" customHeight="false" outlineLevel="0" collapsed="false">
      <c r="D722" s="20"/>
      <c r="E722" s="20"/>
      <c r="I722" s="20"/>
      <c r="J722" s="20"/>
      <c r="K722" s="20"/>
      <c r="L722" s="20"/>
      <c r="M722" s="20"/>
      <c r="N722" s="20"/>
      <c r="O722" s="20"/>
      <c r="P722" s="20"/>
      <c r="Q722" s="20"/>
      <c r="R722" s="20"/>
      <c r="S722" s="20"/>
      <c r="T722" s="20"/>
      <c r="U722" s="20"/>
      <c r="V722" s="20"/>
      <c r="W722" s="20"/>
    </row>
    <row r="723" customFormat="false" ht="15.75" hidden="false" customHeight="false" outlineLevel="0" collapsed="false">
      <c r="D723" s="20"/>
      <c r="E723" s="20"/>
      <c r="I723" s="20"/>
      <c r="J723" s="20"/>
      <c r="K723" s="20"/>
      <c r="L723" s="20"/>
      <c r="M723" s="20"/>
      <c r="N723" s="20"/>
      <c r="O723" s="20"/>
      <c r="P723" s="20"/>
      <c r="Q723" s="20"/>
      <c r="R723" s="20"/>
      <c r="S723" s="20"/>
      <c r="T723" s="20"/>
      <c r="U723" s="20"/>
      <c r="V723" s="20"/>
      <c r="W723" s="20"/>
    </row>
    <row r="724" customFormat="false" ht="15.75" hidden="false" customHeight="false" outlineLevel="0" collapsed="false">
      <c r="D724" s="20"/>
      <c r="E724" s="20"/>
      <c r="I724" s="20"/>
      <c r="J724" s="20"/>
      <c r="K724" s="20"/>
      <c r="L724" s="20"/>
      <c r="M724" s="20"/>
      <c r="N724" s="20"/>
      <c r="O724" s="20"/>
      <c r="P724" s="20"/>
      <c r="Q724" s="20"/>
      <c r="R724" s="20"/>
      <c r="S724" s="20"/>
      <c r="T724" s="20"/>
      <c r="U724" s="20"/>
      <c r="V724" s="20"/>
      <c r="W724" s="20"/>
    </row>
    <row r="725" customFormat="false" ht="15.75" hidden="false" customHeight="false" outlineLevel="0" collapsed="false">
      <c r="D725" s="20"/>
      <c r="E725" s="20"/>
      <c r="I725" s="20"/>
      <c r="J725" s="20"/>
      <c r="K725" s="20"/>
      <c r="L725" s="20"/>
      <c r="M725" s="20"/>
      <c r="N725" s="20"/>
      <c r="O725" s="20"/>
      <c r="P725" s="20"/>
      <c r="Q725" s="20"/>
      <c r="R725" s="20"/>
      <c r="S725" s="20"/>
      <c r="T725" s="20"/>
      <c r="U725" s="20"/>
      <c r="V725" s="20"/>
      <c r="W725" s="20"/>
    </row>
    <row r="726" customFormat="false" ht="15.75" hidden="false" customHeight="false" outlineLevel="0" collapsed="false">
      <c r="D726" s="20"/>
      <c r="E726" s="20"/>
      <c r="I726" s="20"/>
      <c r="J726" s="20"/>
      <c r="K726" s="20"/>
      <c r="L726" s="20"/>
      <c r="M726" s="20"/>
      <c r="N726" s="20"/>
      <c r="O726" s="20"/>
      <c r="P726" s="20"/>
      <c r="Q726" s="20"/>
      <c r="R726" s="20"/>
      <c r="S726" s="20"/>
      <c r="T726" s="20"/>
      <c r="U726" s="20"/>
      <c r="V726" s="20"/>
      <c r="W726" s="20"/>
    </row>
    <row r="727" customFormat="false" ht="15.75" hidden="false" customHeight="false" outlineLevel="0" collapsed="false">
      <c r="D727" s="20"/>
      <c r="E727" s="20"/>
      <c r="I727" s="20"/>
      <c r="J727" s="20"/>
      <c r="K727" s="20"/>
      <c r="L727" s="20"/>
      <c r="M727" s="20"/>
      <c r="N727" s="20"/>
      <c r="O727" s="20"/>
      <c r="P727" s="20"/>
      <c r="Q727" s="20"/>
      <c r="R727" s="20"/>
      <c r="S727" s="20"/>
      <c r="T727" s="20"/>
      <c r="U727" s="20"/>
      <c r="V727" s="20"/>
      <c r="W727" s="20"/>
    </row>
    <row r="728" customFormat="false" ht="15.75" hidden="false" customHeight="false" outlineLevel="0" collapsed="false">
      <c r="D728" s="20"/>
      <c r="E728" s="20"/>
      <c r="I728" s="20"/>
      <c r="J728" s="20"/>
      <c r="K728" s="20"/>
      <c r="L728" s="20"/>
      <c r="M728" s="20"/>
      <c r="N728" s="20"/>
      <c r="O728" s="20"/>
      <c r="P728" s="20"/>
      <c r="Q728" s="20"/>
      <c r="R728" s="20"/>
      <c r="S728" s="20"/>
      <c r="T728" s="20"/>
      <c r="U728" s="20"/>
      <c r="V728" s="20"/>
      <c r="W728" s="20"/>
    </row>
    <row r="729" customFormat="false" ht="15.75" hidden="false" customHeight="false" outlineLevel="0" collapsed="false">
      <c r="D729" s="20"/>
      <c r="E729" s="20"/>
      <c r="I729" s="20"/>
      <c r="J729" s="20"/>
      <c r="K729" s="20"/>
      <c r="L729" s="20"/>
      <c r="M729" s="20"/>
      <c r="N729" s="20"/>
      <c r="O729" s="20"/>
      <c r="P729" s="20"/>
      <c r="Q729" s="20"/>
      <c r="R729" s="20"/>
      <c r="S729" s="20"/>
      <c r="T729" s="20"/>
      <c r="U729" s="20"/>
      <c r="V729" s="20"/>
      <c r="W729" s="20"/>
    </row>
    <row r="730" customFormat="false" ht="15.75" hidden="false" customHeight="false" outlineLevel="0" collapsed="false">
      <c r="D730" s="20"/>
      <c r="E730" s="20"/>
      <c r="I730" s="20"/>
      <c r="J730" s="20"/>
      <c r="K730" s="20"/>
      <c r="L730" s="20"/>
      <c r="M730" s="20"/>
      <c r="N730" s="20"/>
      <c r="O730" s="20"/>
      <c r="P730" s="20"/>
      <c r="Q730" s="20"/>
      <c r="R730" s="20"/>
      <c r="S730" s="20"/>
      <c r="T730" s="20"/>
      <c r="U730" s="20"/>
      <c r="V730" s="20"/>
      <c r="W730" s="20"/>
    </row>
    <row r="731" customFormat="false" ht="15.75" hidden="false" customHeight="false" outlineLevel="0" collapsed="false">
      <c r="D731" s="20"/>
      <c r="E731" s="20"/>
      <c r="I731" s="20"/>
      <c r="J731" s="20"/>
      <c r="K731" s="20"/>
      <c r="L731" s="20"/>
      <c r="M731" s="20"/>
      <c r="N731" s="20"/>
      <c r="O731" s="20"/>
      <c r="P731" s="20"/>
      <c r="Q731" s="20"/>
      <c r="R731" s="20"/>
      <c r="S731" s="20"/>
      <c r="T731" s="20"/>
      <c r="U731" s="20"/>
      <c r="V731" s="20"/>
      <c r="W731" s="20"/>
    </row>
    <row r="732" customFormat="false" ht="15.75" hidden="false" customHeight="false" outlineLevel="0" collapsed="false">
      <c r="D732" s="20"/>
      <c r="E732" s="20"/>
      <c r="I732" s="20"/>
      <c r="J732" s="20"/>
      <c r="K732" s="20"/>
      <c r="L732" s="20"/>
      <c r="M732" s="20"/>
      <c r="N732" s="20"/>
      <c r="O732" s="20"/>
      <c r="P732" s="20"/>
      <c r="Q732" s="20"/>
      <c r="R732" s="20"/>
      <c r="S732" s="20"/>
      <c r="T732" s="20"/>
      <c r="U732" s="20"/>
      <c r="V732" s="20"/>
      <c r="W732" s="20"/>
    </row>
    <row r="733" customFormat="false" ht="15.75" hidden="false" customHeight="false" outlineLevel="0" collapsed="false">
      <c r="D733" s="20"/>
      <c r="E733" s="20"/>
      <c r="I733" s="20"/>
      <c r="J733" s="20"/>
      <c r="K733" s="20"/>
      <c r="L733" s="20"/>
      <c r="M733" s="20"/>
      <c r="N733" s="20"/>
      <c r="O733" s="20"/>
      <c r="P733" s="20"/>
      <c r="Q733" s="20"/>
      <c r="R733" s="20"/>
      <c r="S733" s="20"/>
      <c r="T733" s="20"/>
      <c r="U733" s="20"/>
      <c r="V733" s="20"/>
      <c r="W733" s="20"/>
    </row>
    <row r="734" customFormat="false" ht="15.75" hidden="false" customHeight="false" outlineLevel="0" collapsed="false">
      <c r="D734" s="20"/>
      <c r="E734" s="20"/>
      <c r="I734" s="20"/>
      <c r="J734" s="20"/>
      <c r="K734" s="20"/>
      <c r="L734" s="20"/>
      <c r="M734" s="20"/>
      <c r="N734" s="20"/>
      <c r="O734" s="20"/>
      <c r="P734" s="20"/>
      <c r="Q734" s="20"/>
      <c r="R734" s="20"/>
      <c r="S734" s="20"/>
      <c r="T734" s="20"/>
      <c r="U734" s="20"/>
      <c r="V734" s="20"/>
      <c r="W734" s="20"/>
    </row>
    <row r="735" customFormat="false" ht="15.75" hidden="false" customHeight="false" outlineLevel="0" collapsed="false">
      <c r="D735" s="20"/>
      <c r="E735" s="20"/>
      <c r="I735" s="20"/>
      <c r="J735" s="20"/>
      <c r="K735" s="20"/>
      <c r="L735" s="20"/>
      <c r="M735" s="20"/>
      <c r="N735" s="20"/>
      <c r="O735" s="20"/>
      <c r="P735" s="20"/>
      <c r="Q735" s="20"/>
      <c r="R735" s="20"/>
      <c r="S735" s="20"/>
      <c r="T735" s="20"/>
      <c r="U735" s="20"/>
      <c r="V735" s="20"/>
      <c r="W735" s="20"/>
    </row>
    <row r="736" customFormat="false" ht="15.75" hidden="false" customHeight="false" outlineLevel="0" collapsed="false">
      <c r="D736" s="20"/>
      <c r="E736" s="20"/>
      <c r="I736" s="20"/>
      <c r="J736" s="20"/>
      <c r="K736" s="20"/>
      <c r="L736" s="20"/>
      <c r="M736" s="20"/>
      <c r="N736" s="20"/>
      <c r="O736" s="20"/>
      <c r="P736" s="20"/>
      <c r="Q736" s="20"/>
      <c r="R736" s="20"/>
      <c r="S736" s="20"/>
      <c r="T736" s="20"/>
      <c r="U736" s="20"/>
      <c r="V736" s="20"/>
      <c r="W736" s="20"/>
    </row>
    <row r="737" customFormat="false" ht="15.75" hidden="false" customHeight="false" outlineLevel="0" collapsed="false">
      <c r="D737" s="20"/>
      <c r="E737" s="20"/>
      <c r="I737" s="20"/>
      <c r="J737" s="20"/>
      <c r="K737" s="20"/>
      <c r="L737" s="20"/>
      <c r="M737" s="20"/>
      <c r="N737" s="20"/>
      <c r="O737" s="20"/>
      <c r="P737" s="20"/>
      <c r="Q737" s="20"/>
      <c r="R737" s="20"/>
      <c r="S737" s="20"/>
      <c r="T737" s="20"/>
      <c r="U737" s="20"/>
      <c r="V737" s="20"/>
      <c r="W737" s="20"/>
    </row>
    <row r="738" customFormat="false" ht="15.75" hidden="false" customHeight="false" outlineLevel="0" collapsed="false">
      <c r="D738" s="20"/>
      <c r="E738" s="20"/>
      <c r="I738" s="20"/>
      <c r="J738" s="20"/>
      <c r="K738" s="20"/>
      <c r="L738" s="20"/>
      <c r="M738" s="20"/>
      <c r="N738" s="20"/>
      <c r="O738" s="20"/>
      <c r="P738" s="20"/>
      <c r="Q738" s="20"/>
      <c r="R738" s="20"/>
      <c r="S738" s="20"/>
      <c r="T738" s="20"/>
      <c r="U738" s="20"/>
      <c r="V738" s="20"/>
      <c r="W738" s="20"/>
    </row>
    <row r="739" customFormat="false" ht="15.75" hidden="false" customHeight="false" outlineLevel="0" collapsed="false">
      <c r="D739" s="20"/>
      <c r="E739" s="20"/>
      <c r="I739" s="20"/>
      <c r="J739" s="20"/>
      <c r="K739" s="20"/>
      <c r="L739" s="20"/>
      <c r="M739" s="20"/>
      <c r="N739" s="20"/>
      <c r="O739" s="20"/>
      <c r="P739" s="20"/>
      <c r="Q739" s="20"/>
      <c r="R739" s="20"/>
      <c r="S739" s="20"/>
      <c r="T739" s="20"/>
      <c r="U739" s="20"/>
      <c r="V739" s="20"/>
      <c r="W739" s="20"/>
    </row>
    <row r="740" customFormat="false" ht="15.75" hidden="false" customHeight="false" outlineLevel="0" collapsed="false">
      <c r="D740" s="20"/>
      <c r="E740" s="20"/>
      <c r="I740" s="20"/>
      <c r="J740" s="20"/>
      <c r="K740" s="20"/>
      <c r="L740" s="20"/>
      <c r="M740" s="20"/>
      <c r="N740" s="20"/>
      <c r="O740" s="20"/>
      <c r="P740" s="20"/>
      <c r="Q740" s="20"/>
      <c r="R740" s="20"/>
      <c r="S740" s="20"/>
      <c r="T740" s="20"/>
      <c r="U740" s="20"/>
      <c r="V740" s="20"/>
      <c r="W740" s="20"/>
    </row>
    <row r="741" customFormat="false" ht="15.75" hidden="false" customHeight="false" outlineLevel="0" collapsed="false">
      <c r="D741" s="20"/>
      <c r="E741" s="20"/>
      <c r="I741" s="20"/>
      <c r="J741" s="20"/>
      <c r="K741" s="20"/>
      <c r="L741" s="20"/>
      <c r="M741" s="20"/>
      <c r="N741" s="20"/>
      <c r="O741" s="20"/>
      <c r="P741" s="20"/>
      <c r="Q741" s="20"/>
      <c r="R741" s="20"/>
      <c r="S741" s="20"/>
      <c r="T741" s="20"/>
      <c r="U741" s="20"/>
      <c r="V741" s="20"/>
      <c r="W741" s="20"/>
    </row>
    <row r="742" customFormat="false" ht="15.75" hidden="false" customHeight="false" outlineLevel="0" collapsed="false">
      <c r="D742" s="20"/>
      <c r="E742" s="20"/>
      <c r="I742" s="20"/>
      <c r="J742" s="20"/>
      <c r="K742" s="20"/>
      <c r="L742" s="20"/>
      <c r="M742" s="20"/>
      <c r="N742" s="20"/>
      <c r="O742" s="20"/>
      <c r="P742" s="20"/>
      <c r="Q742" s="20"/>
      <c r="R742" s="20"/>
      <c r="S742" s="20"/>
      <c r="T742" s="20"/>
      <c r="U742" s="20"/>
      <c r="V742" s="20"/>
      <c r="W742" s="20"/>
    </row>
    <row r="743" customFormat="false" ht="15.75" hidden="false" customHeight="false" outlineLevel="0" collapsed="false">
      <c r="D743" s="20"/>
      <c r="E743" s="20"/>
      <c r="I743" s="20"/>
      <c r="J743" s="20"/>
      <c r="K743" s="20"/>
      <c r="L743" s="20"/>
      <c r="M743" s="20"/>
      <c r="N743" s="20"/>
      <c r="O743" s="20"/>
      <c r="P743" s="20"/>
      <c r="Q743" s="20"/>
      <c r="R743" s="20"/>
      <c r="S743" s="20"/>
      <c r="T743" s="20"/>
      <c r="U743" s="20"/>
      <c r="V743" s="20"/>
      <c r="W743" s="20"/>
    </row>
    <row r="744" customFormat="false" ht="15.75" hidden="false" customHeight="false" outlineLevel="0" collapsed="false">
      <c r="D744" s="20"/>
      <c r="E744" s="20"/>
      <c r="I744" s="20"/>
      <c r="J744" s="20"/>
      <c r="K744" s="20"/>
      <c r="L744" s="20"/>
      <c r="M744" s="20"/>
      <c r="N744" s="20"/>
      <c r="O744" s="20"/>
      <c r="P744" s="20"/>
      <c r="Q744" s="20"/>
      <c r="R744" s="20"/>
      <c r="S744" s="20"/>
      <c r="T744" s="20"/>
      <c r="U744" s="20"/>
      <c r="V744" s="20"/>
      <c r="W744" s="20"/>
    </row>
    <row r="745" customFormat="false" ht="15.75" hidden="false" customHeight="false" outlineLevel="0" collapsed="false">
      <c r="D745" s="20"/>
      <c r="E745" s="20"/>
      <c r="I745" s="20"/>
      <c r="J745" s="20"/>
      <c r="K745" s="20"/>
      <c r="L745" s="20"/>
      <c r="M745" s="20"/>
      <c r="N745" s="20"/>
      <c r="O745" s="20"/>
      <c r="P745" s="20"/>
      <c r="Q745" s="20"/>
      <c r="R745" s="20"/>
      <c r="S745" s="20"/>
      <c r="T745" s="20"/>
      <c r="U745" s="20"/>
      <c r="V745" s="20"/>
      <c r="W745" s="20"/>
    </row>
    <row r="746" customFormat="false" ht="15.75" hidden="false" customHeight="false" outlineLevel="0" collapsed="false">
      <c r="D746" s="20"/>
      <c r="E746" s="20"/>
      <c r="I746" s="20"/>
      <c r="J746" s="20"/>
      <c r="K746" s="20"/>
      <c r="L746" s="20"/>
      <c r="M746" s="20"/>
      <c r="N746" s="20"/>
      <c r="O746" s="20"/>
      <c r="P746" s="20"/>
      <c r="Q746" s="20"/>
      <c r="R746" s="20"/>
      <c r="S746" s="20"/>
      <c r="T746" s="20"/>
      <c r="U746" s="20"/>
      <c r="V746" s="20"/>
      <c r="W746" s="20"/>
    </row>
    <row r="747" customFormat="false" ht="15.75" hidden="false" customHeight="false" outlineLevel="0" collapsed="false">
      <c r="D747" s="20"/>
      <c r="E747" s="20"/>
      <c r="I747" s="20"/>
      <c r="J747" s="20"/>
      <c r="K747" s="20"/>
      <c r="L747" s="20"/>
      <c r="M747" s="20"/>
      <c r="N747" s="20"/>
      <c r="O747" s="20"/>
      <c r="P747" s="20"/>
      <c r="Q747" s="20"/>
      <c r="R747" s="20"/>
      <c r="S747" s="20"/>
      <c r="T747" s="20"/>
      <c r="U747" s="20"/>
      <c r="V747" s="20"/>
      <c r="W747" s="20"/>
    </row>
    <row r="748" customFormat="false" ht="15.75" hidden="false" customHeight="false" outlineLevel="0" collapsed="false">
      <c r="D748" s="20"/>
      <c r="E748" s="20"/>
      <c r="I748" s="20"/>
      <c r="J748" s="20"/>
      <c r="K748" s="20"/>
      <c r="L748" s="20"/>
      <c r="M748" s="20"/>
      <c r="N748" s="20"/>
      <c r="O748" s="20"/>
      <c r="P748" s="20"/>
      <c r="Q748" s="20"/>
      <c r="R748" s="20"/>
      <c r="S748" s="20"/>
      <c r="T748" s="20"/>
      <c r="U748" s="20"/>
      <c r="V748" s="20"/>
      <c r="W748" s="20"/>
    </row>
    <row r="749" customFormat="false" ht="15.75" hidden="false" customHeight="false" outlineLevel="0" collapsed="false">
      <c r="D749" s="20"/>
      <c r="E749" s="20"/>
      <c r="I749" s="20"/>
      <c r="J749" s="20"/>
      <c r="K749" s="20"/>
      <c r="L749" s="20"/>
      <c r="M749" s="20"/>
      <c r="N749" s="20"/>
      <c r="O749" s="20"/>
      <c r="P749" s="20"/>
      <c r="Q749" s="20"/>
      <c r="R749" s="20"/>
      <c r="S749" s="20"/>
      <c r="T749" s="20"/>
      <c r="U749" s="20"/>
      <c r="V749" s="20"/>
      <c r="W749" s="20"/>
    </row>
    <row r="750" customFormat="false" ht="15.75" hidden="false" customHeight="false" outlineLevel="0" collapsed="false">
      <c r="D750" s="20"/>
      <c r="E750" s="20"/>
      <c r="I750" s="20"/>
      <c r="J750" s="20"/>
      <c r="K750" s="20"/>
      <c r="L750" s="20"/>
      <c r="M750" s="20"/>
      <c r="N750" s="20"/>
      <c r="O750" s="20"/>
      <c r="P750" s="20"/>
      <c r="Q750" s="20"/>
      <c r="R750" s="20"/>
      <c r="S750" s="20"/>
      <c r="T750" s="20"/>
      <c r="U750" s="20"/>
      <c r="V750" s="20"/>
      <c r="W750" s="20"/>
    </row>
    <row r="751" customFormat="false" ht="15.75" hidden="false" customHeight="false" outlineLevel="0" collapsed="false">
      <c r="D751" s="20"/>
      <c r="E751" s="20"/>
      <c r="I751" s="20"/>
      <c r="J751" s="20"/>
      <c r="K751" s="20"/>
      <c r="L751" s="20"/>
      <c r="M751" s="20"/>
      <c r="N751" s="20"/>
      <c r="O751" s="20"/>
      <c r="P751" s="20"/>
      <c r="Q751" s="20"/>
      <c r="R751" s="20"/>
      <c r="S751" s="20"/>
      <c r="T751" s="20"/>
      <c r="U751" s="20"/>
      <c r="V751" s="20"/>
      <c r="W751" s="20"/>
    </row>
    <row r="752" customFormat="false" ht="15.75" hidden="false" customHeight="false" outlineLevel="0" collapsed="false">
      <c r="D752" s="20"/>
      <c r="E752" s="20"/>
      <c r="I752" s="20"/>
      <c r="J752" s="20"/>
      <c r="K752" s="20"/>
      <c r="L752" s="20"/>
      <c r="M752" s="20"/>
      <c r="N752" s="20"/>
      <c r="O752" s="20"/>
      <c r="P752" s="20"/>
      <c r="Q752" s="20"/>
      <c r="R752" s="20"/>
      <c r="S752" s="20"/>
      <c r="T752" s="20"/>
      <c r="U752" s="20"/>
      <c r="V752" s="20"/>
      <c r="W752" s="20"/>
    </row>
    <row r="753" customFormat="false" ht="15.75" hidden="false" customHeight="false" outlineLevel="0" collapsed="false">
      <c r="D753" s="20"/>
      <c r="E753" s="20"/>
      <c r="I753" s="20"/>
      <c r="J753" s="20"/>
      <c r="K753" s="20"/>
      <c r="L753" s="20"/>
      <c r="M753" s="20"/>
      <c r="N753" s="20"/>
      <c r="O753" s="20"/>
      <c r="P753" s="20"/>
      <c r="Q753" s="20"/>
      <c r="R753" s="20"/>
      <c r="S753" s="20"/>
      <c r="T753" s="20"/>
      <c r="U753" s="20"/>
      <c r="V753" s="20"/>
      <c r="W753" s="20"/>
    </row>
    <row r="754" customFormat="false" ht="15.75" hidden="false" customHeight="false" outlineLevel="0" collapsed="false">
      <c r="D754" s="20"/>
      <c r="E754" s="20"/>
      <c r="I754" s="20"/>
      <c r="J754" s="20"/>
      <c r="K754" s="20"/>
      <c r="L754" s="20"/>
      <c r="M754" s="20"/>
      <c r="N754" s="20"/>
      <c r="O754" s="20"/>
      <c r="P754" s="20"/>
      <c r="Q754" s="20"/>
      <c r="R754" s="20"/>
      <c r="S754" s="20"/>
      <c r="T754" s="20"/>
      <c r="U754" s="20"/>
      <c r="V754" s="20"/>
      <c r="W754" s="20"/>
    </row>
    <row r="755" customFormat="false" ht="15.75" hidden="false" customHeight="false" outlineLevel="0" collapsed="false">
      <c r="D755" s="20"/>
      <c r="E755" s="20"/>
      <c r="I755" s="20"/>
      <c r="J755" s="20"/>
      <c r="K755" s="20"/>
      <c r="L755" s="20"/>
      <c r="M755" s="20"/>
      <c r="N755" s="20"/>
      <c r="O755" s="20"/>
      <c r="P755" s="20"/>
      <c r="Q755" s="20"/>
      <c r="R755" s="20"/>
      <c r="S755" s="20"/>
      <c r="T755" s="20"/>
      <c r="U755" s="20"/>
      <c r="V755" s="20"/>
      <c r="W755" s="20"/>
    </row>
    <row r="756" customFormat="false" ht="15.75" hidden="false" customHeight="false" outlineLevel="0" collapsed="false">
      <c r="D756" s="20"/>
      <c r="E756" s="20"/>
      <c r="I756" s="20"/>
      <c r="J756" s="20"/>
      <c r="K756" s="20"/>
      <c r="L756" s="20"/>
      <c r="M756" s="20"/>
      <c r="N756" s="20"/>
      <c r="O756" s="20"/>
      <c r="P756" s="20"/>
      <c r="Q756" s="20"/>
      <c r="R756" s="20"/>
      <c r="S756" s="20"/>
      <c r="T756" s="20"/>
      <c r="U756" s="20"/>
      <c r="V756" s="20"/>
      <c r="W756" s="20"/>
    </row>
    <row r="757" customFormat="false" ht="15.75" hidden="false" customHeight="false" outlineLevel="0" collapsed="false">
      <c r="D757" s="20"/>
      <c r="E757" s="20"/>
      <c r="I757" s="20"/>
      <c r="J757" s="20"/>
      <c r="K757" s="20"/>
      <c r="L757" s="20"/>
      <c r="M757" s="20"/>
      <c r="N757" s="20"/>
      <c r="O757" s="20"/>
      <c r="P757" s="20"/>
      <c r="Q757" s="20"/>
      <c r="R757" s="20"/>
      <c r="S757" s="20"/>
      <c r="T757" s="20"/>
      <c r="U757" s="20"/>
      <c r="V757" s="20"/>
      <c r="W757" s="20"/>
    </row>
    <row r="758" customFormat="false" ht="15.75" hidden="false" customHeight="false" outlineLevel="0" collapsed="false">
      <c r="D758" s="20"/>
      <c r="E758" s="20"/>
      <c r="I758" s="20"/>
      <c r="J758" s="20"/>
      <c r="K758" s="20"/>
      <c r="L758" s="20"/>
      <c r="M758" s="20"/>
      <c r="N758" s="20"/>
      <c r="O758" s="20"/>
      <c r="P758" s="20"/>
      <c r="Q758" s="20"/>
      <c r="R758" s="20"/>
      <c r="S758" s="20"/>
      <c r="T758" s="20"/>
      <c r="U758" s="20"/>
      <c r="V758" s="20"/>
      <c r="W758" s="20"/>
    </row>
    <row r="759" customFormat="false" ht="15.75" hidden="false" customHeight="false" outlineLevel="0" collapsed="false">
      <c r="D759" s="20"/>
      <c r="E759" s="20"/>
      <c r="I759" s="20"/>
      <c r="J759" s="20"/>
      <c r="K759" s="20"/>
      <c r="L759" s="20"/>
      <c r="M759" s="20"/>
      <c r="N759" s="20"/>
      <c r="O759" s="20"/>
      <c r="P759" s="20"/>
      <c r="Q759" s="20"/>
      <c r="R759" s="20"/>
      <c r="S759" s="20"/>
      <c r="T759" s="20"/>
      <c r="U759" s="20"/>
      <c r="V759" s="20"/>
      <c r="W759" s="20"/>
    </row>
    <row r="760" customFormat="false" ht="15.75" hidden="false" customHeight="false" outlineLevel="0" collapsed="false">
      <c r="D760" s="20"/>
      <c r="E760" s="20"/>
      <c r="I760" s="20"/>
      <c r="J760" s="20"/>
      <c r="K760" s="20"/>
      <c r="L760" s="20"/>
      <c r="M760" s="20"/>
      <c r="N760" s="20"/>
      <c r="O760" s="20"/>
      <c r="P760" s="20"/>
      <c r="Q760" s="20"/>
      <c r="R760" s="20"/>
      <c r="S760" s="20"/>
      <c r="T760" s="20"/>
      <c r="U760" s="20"/>
      <c r="V760" s="20"/>
      <c r="W760" s="20"/>
    </row>
    <row r="761" customFormat="false" ht="15.75" hidden="false" customHeight="false" outlineLevel="0" collapsed="false">
      <c r="D761" s="20"/>
      <c r="E761" s="20"/>
      <c r="I761" s="20"/>
      <c r="J761" s="20"/>
      <c r="K761" s="20"/>
      <c r="L761" s="20"/>
      <c r="M761" s="20"/>
      <c r="N761" s="20"/>
      <c r="O761" s="20"/>
      <c r="P761" s="20"/>
      <c r="Q761" s="20"/>
      <c r="R761" s="20"/>
      <c r="S761" s="20"/>
      <c r="T761" s="20"/>
      <c r="U761" s="20"/>
      <c r="V761" s="20"/>
      <c r="W761" s="20"/>
    </row>
    <row r="762" customFormat="false" ht="15.75" hidden="false" customHeight="false" outlineLevel="0" collapsed="false">
      <c r="D762" s="20"/>
      <c r="E762" s="20"/>
      <c r="I762" s="20"/>
      <c r="J762" s="20"/>
      <c r="K762" s="20"/>
      <c r="L762" s="20"/>
      <c r="M762" s="20"/>
      <c r="N762" s="20"/>
      <c r="O762" s="20"/>
      <c r="P762" s="20"/>
      <c r="Q762" s="20"/>
      <c r="R762" s="20"/>
      <c r="S762" s="20"/>
      <c r="T762" s="20"/>
      <c r="U762" s="20"/>
      <c r="V762" s="20"/>
      <c r="W762" s="20"/>
    </row>
    <row r="763" customFormat="false" ht="15.75" hidden="false" customHeight="false" outlineLevel="0" collapsed="false">
      <c r="D763" s="20"/>
      <c r="E763" s="20"/>
      <c r="I763" s="20"/>
      <c r="J763" s="20"/>
      <c r="K763" s="20"/>
      <c r="L763" s="20"/>
      <c r="M763" s="20"/>
      <c r="N763" s="20"/>
      <c r="O763" s="20"/>
      <c r="P763" s="20"/>
      <c r="Q763" s="20"/>
      <c r="R763" s="20"/>
      <c r="S763" s="20"/>
      <c r="T763" s="20"/>
      <c r="U763" s="20"/>
      <c r="V763" s="20"/>
      <c r="W763" s="20"/>
    </row>
    <row r="764" customFormat="false" ht="15.75" hidden="false" customHeight="false" outlineLevel="0" collapsed="false">
      <c r="D764" s="20"/>
      <c r="E764" s="20"/>
      <c r="I764" s="20"/>
      <c r="J764" s="20"/>
      <c r="K764" s="20"/>
      <c r="L764" s="20"/>
      <c r="M764" s="20"/>
      <c r="N764" s="20"/>
      <c r="O764" s="20"/>
      <c r="P764" s="20"/>
      <c r="Q764" s="20"/>
      <c r="R764" s="20"/>
      <c r="S764" s="20"/>
      <c r="T764" s="20"/>
      <c r="U764" s="20"/>
      <c r="V764" s="20"/>
      <c r="W764" s="20"/>
    </row>
    <row r="765" customFormat="false" ht="15.75" hidden="false" customHeight="false" outlineLevel="0" collapsed="false">
      <c r="D765" s="20"/>
      <c r="E765" s="20"/>
      <c r="I765" s="20"/>
      <c r="J765" s="20"/>
      <c r="K765" s="20"/>
      <c r="L765" s="20"/>
      <c r="M765" s="20"/>
      <c r="N765" s="20"/>
      <c r="O765" s="20"/>
      <c r="P765" s="20"/>
      <c r="Q765" s="20"/>
      <c r="R765" s="20"/>
      <c r="S765" s="20"/>
      <c r="T765" s="20"/>
      <c r="U765" s="20"/>
      <c r="V765" s="20"/>
      <c r="W765" s="20"/>
    </row>
    <row r="766" customFormat="false" ht="15.75" hidden="false" customHeight="false" outlineLevel="0" collapsed="false">
      <c r="D766" s="20"/>
      <c r="E766" s="20"/>
      <c r="I766" s="20"/>
      <c r="J766" s="20"/>
      <c r="K766" s="20"/>
      <c r="L766" s="20"/>
      <c r="M766" s="20"/>
      <c r="N766" s="20"/>
      <c r="O766" s="20"/>
      <c r="P766" s="20"/>
      <c r="Q766" s="20"/>
      <c r="R766" s="20"/>
      <c r="S766" s="20"/>
      <c r="T766" s="20"/>
      <c r="U766" s="20"/>
      <c r="V766" s="20"/>
      <c r="W766" s="20"/>
    </row>
    <row r="767" customFormat="false" ht="15.75" hidden="false" customHeight="false" outlineLevel="0" collapsed="false">
      <c r="D767" s="20"/>
      <c r="E767" s="20"/>
      <c r="I767" s="20"/>
      <c r="J767" s="20"/>
      <c r="K767" s="20"/>
      <c r="L767" s="20"/>
      <c r="M767" s="20"/>
      <c r="N767" s="20"/>
      <c r="O767" s="20"/>
      <c r="P767" s="20"/>
      <c r="Q767" s="20"/>
      <c r="R767" s="20"/>
      <c r="S767" s="20"/>
      <c r="T767" s="20"/>
      <c r="U767" s="20"/>
      <c r="V767" s="20"/>
      <c r="W767" s="20"/>
    </row>
    <row r="768" customFormat="false" ht="15.75" hidden="false" customHeight="false" outlineLevel="0" collapsed="false">
      <c r="D768" s="20"/>
      <c r="E768" s="20"/>
      <c r="I768" s="20"/>
      <c r="J768" s="20"/>
      <c r="K768" s="20"/>
      <c r="L768" s="20"/>
      <c r="M768" s="20"/>
      <c r="N768" s="20"/>
      <c r="O768" s="20"/>
      <c r="P768" s="20"/>
      <c r="Q768" s="20"/>
      <c r="R768" s="20"/>
      <c r="S768" s="20"/>
      <c r="T768" s="20"/>
      <c r="U768" s="20"/>
      <c r="V768" s="20"/>
      <c r="W768" s="20"/>
    </row>
    <row r="769" customFormat="false" ht="15.75" hidden="false" customHeight="false" outlineLevel="0" collapsed="false">
      <c r="D769" s="20"/>
      <c r="E769" s="20"/>
      <c r="I769" s="20"/>
      <c r="J769" s="20"/>
      <c r="K769" s="20"/>
      <c r="L769" s="20"/>
      <c r="M769" s="20"/>
      <c r="N769" s="20"/>
      <c r="O769" s="20"/>
      <c r="P769" s="20"/>
      <c r="Q769" s="20"/>
      <c r="R769" s="20"/>
      <c r="S769" s="20"/>
      <c r="T769" s="20"/>
      <c r="U769" s="20"/>
      <c r="V769" s="20"/>
      <c r="W769" s="20"/>
    </row>
    <row r="770" customFormat="false" ht="15.75" hidden="false" customHeight="false" outlineLevel="0" collapsed="false">
      <c r="D770" s="20"/>
      <c r="E770" s="20"/>
      <c r="I770" s="20"/>
      <c r="J770" s="20"/>
      <c r="K770" s="20"/>
      <c r="L770" s="20"/>
      <c r="M770" s="20"/>
      <c r="N770" s="20"/>
      <c r="O770" s="20"/>
      <c r="P770" s="20"/>
      <c r="Q770" s="20"/>
      <c r="R770" s="20"/>
      <c r="S770" s="20"/>
      <c r="T770" s="20"/>
      <c r="U770" s="20"/>
      <c r="V770" s="20"/>
      <c r="W770" s="20"/>
    </row>
    <row r="771" customFormat="false" ht="15.75" hidden="false" customHeight="false" outlineLevel="0" collapsed="false">
      <c r="D771" s="20"/>
      <c r="E771" s="20"/>
      <c r="I771" s="20"/>
      <c r="J771" s="20"/>
      <c r="K771" s="20"/>
      <c r="L771" s="20"/>
      <c r="M771" s="20"/>
      <c r="N771" s="20"/>
      <c r="O771" s="20"/>
      <c r="P771" s="20"/>
      <c r="Q771" s="20"/>
      <c r="R771" s="20"/>
      <c r="S771" s="20"/>
      <c r="T771" s="20"/>
      <c r="U771" s="20"/>
      <c r="V771" s="20"/>
      <c r="W771" s="20"/>
    </row>
    <row r="772" customFormat="false" ht="15.75" hidden="false" customHeight="false" outlineLevel="0" collapsed="false">
      <c r="D772" s="20"/>
      <c r="E772" s="20"/>
      <c r="I772" s="20"/>
      <c r="J772" s="20"/>
      <c r="K772" s="20"/>
      <c r="L772" s="20"/>
      <c r="M772" s="20"/>
      <c r="N772" s="20"/>
      <c r="O772" s="20"/>
      <c r="P772" s="20"/>
      <c r="Q772" s="20"/>
      <c r="R772" s="20"/>
      <c r="S772" s="20"/>
      <c r="T772" s="20"/>
      <c r="U772" s="20"/>
      <c r="V772" s="20"/>
      <c r="W772" s="20"/>
    </row>
    <row r="773" customFormat="false" ht="15.75" hidden="false" customHeight="false" outlineLevel="0" collapsed="false">
      <c r="D773" s="20"/>
      <c r="E773" s="20"/>
      <c r="I773" s="20"/>
      <c r="J773" s="20"/>
      <c r="K773" s="20"/>
      <c r="L773" s="20"/>
      <c r="M773" s="20"/>
      <c r="N773" s="20"/>
      <c r="O773" s="20"/>
      <c r="P773" s="20"/>
      <c r="Q773" s="20"/>
      <c r="R773" s="20"/>
      <c r="S773" s="20"/>
      <c r="T773" s="20"/>
      <c r="U773" s="20"/>
      <c r="V773" s="20"/>
      <c r="W773" s="20"/>
    </row>
    <row r="774" customFormat="false" ht="15.75" hidden="false" customHeight="false" outlineLevel="0" collapsed="false">
      <c r="D774" s="20"/>
      <c r="E774" s="20"/>
      <c r="I774" s="20"/>
      <c r="J774" s="20"/>
      <c r="K774" s="20"/>
      <c r="L774" s="20"/>
      <c r="M774" s="20"/>
      <c r="N774" s="20"/>
      <c r="O774" s="20"/>
      <c r="P774" s="20"/>
      <c r="Q774" s="20"/>
      <c r="R774" s="20"/>
      <c r="S774" s="20"/>
      <c r="T774" s="20"/>
      <c r="U774" s="20"/>
      <c r="V774" s="20"/>
      <c r="W774" s="20"/>
    </row>
    <row r="775" customFormat="false" ht="15.75" hidden="false" customHeight="false" outlineLevel="0" collapsed="false">
      <c r="D775" s="20"/>
      <c r="E775" s="20"/>
      <c r="I775" s="20"/>
      <c r="J775" s="20"/>
      <c r="K775" s="20"/>
      <c r="L775" s="20"/>
      <c r="M775" s="20"/>
      <c r="N775" s="20"/>
      <c r="O775" s="20"/>
      <c r="P775" s="20"/>
      <c r="Q775" s="20"/>
      <c r="R775" s="20"/>
      <c r="S775" s="20"/>
      <c r="T775" s="20"/>
      <c r="U775" s="20"/>
      <c r="V775" s="20"/>
      <c r="W775" s="20"/>
    </row>
    <row r="776" customFormat="false" ht="15.75" hidden="false" customHeight="false" outlineLevel="0" collapsed="false">
      <c r="D776" s="20"/>
      <c r="E776" s="20"/>
      <c r="I776" s="20"/>
      <c r="J776" s="20"/>
      <c r="K776" s="20"/>
      <c r="L776" s="20"/>
      <c r="M776" s="20"/>
      <c r="N776" s="20"/>
      <c r="O776" s="20"/>
      <c r="P776" s="20"/>
      <c r="Q776" s="20"/>
      <c r="R776" s="20"/>
      <c r="S776" s="20"/>
      <c r="T776" s="20"/>
      <c r="U776" s="20"/>
      <c r="V776" s="20"/>
      <c r="W776" s="20"/>
    </row>
    <row r="777" customFormat="false" ht="15.75" hidden="false" customHeight="false" outlineLevel="0" collapsed="false">
      <c r="D777" s="20"/>
      <c r="E777" s="20"/>
      <c r="I777" s="20"/>
      <c r="J777" s="20"/>
      <c r="K777" s="20"/>
      <c r="L777" s="20"/>
      <c r="M777" s="20"/>
      <c r="N777" s="20"/>
      <c r="O777" s="20"/>
      <c r="P777" s="20"/>
      <c r="Q777" s="20"/>
      <c r="R777" s="20"/>
      <c r="S777" s="20"/>
      <c r="T777" s="20"/>
      <c r="U777" s="20"/>
      <c r="V777" s="20"/>
      <c r="W777" s="20"/>
    </row>
    <row r="778" customFormat="false" ht="15.75" hidden="false" customHeight="false" outlineLevel="0" collapsed="false">
      <c r="D778" s="20"/>
      <c r="E778" s="20"/>
      <c r="I778" s="20"/>
      <c r="J778" s="20"/>
      <c r="K778" s="20"/>
      <c r="L778" s="20"/>
      <c r="M778" s="20"/>
      <c r="N778" s="20"/>
      <c r="O778" s="20"/>
      <c r="P778" s="20"/>
      <c r="Q778" s="20"/>
      <c r="R778" s="20"/>
      <c r="S778" s="20"/>
      <c r="T778" s="20"/>
      <c r="U778" s="20"/>
      <c r="V778" s="20"/>
      <c r="W778" s="20"/>
    </row>
    <row r="779" customFormat="false" ht="15.75" hidden="false" customHeight="false" outlineLevel="0" collapsed="false">
      <c r="D779" s="20"/>
      <c r="E779" s="20"/>
      <c r="I779" s="20"/>
      <c r="J779" s="20"/>
      <c r="K779" s="20"/>
      <c r="L779" s="20"/>
      <c r="M779" s="20"/>
      <c r="N779" s="20"/>
      <c r="O779" s="20"/>
      <c r="P779" s="20"/>
      <c r="Q779" s="20"/>
      <c r="R779" s="20"/>
      <c r="S779" s="20"/>
      <c r="T779" s="20"/>
      <c r="U779" s="20"/>
      <c r="V779" s="20"/>
      <c r="W779" s="20"/>
    </row>
    <row r="780" customFormat="false" ht="15.75" hidden="false" customHeight="false" outlineLevel="0" collapsed="false">
      <c r="D780" s="20"/>
      <c r="E780" s="20"/>
      <c r="I780" s="20"/>
      <c r="J780" s="20"/>
      <c r="K780" s="20"/>
      <c r="L780" s="20"/>
      <c r="M780" s="20"/>
      <c r="N780" s="20"/>
      <c r="O780" s="20"/>
      <c r="P780" s="20"/>
      <c r="Q780" s="20"/>
      <c r="R780" s="20"/>
      <c r="S780" s="20"/>
      <c r="T780" s="20"/>
      <c r="U780" s="20"/>
      <c r="V780" s="20"/>
      <c r="W780" s="20"/>
    </row>
    <row r="781" customFormat="false" ht="15.75" hidden="false" customHeight="false" outlineLevel="0" collapsed="false">
      <c r="D781" s="20"/>
      <c r="E781" s="20"/>
      <c r="I781" s="20"/>
      <c r="J781" s="20"/>
      <c r="K781" s="20"/>
      <c r="L781" s="20"/>
      <c r="M781" s="20"/>
      <c r="N781" s="20"/>
      <c r="O781" s="20"/>
      <c r="P781" s="20"/>
      <c r="Q781" s="20"/>
      <c r="R781" s="20"/>
      <c r="S781" s="20"/>
      <c r="T781" s="20"/>
      <c r="U781" s="20"/>
      <c r="V781" s="20"/>
      <c r="W781" s="20"/>
    </row>
    <row r="782" customFormat="false" ht="15.75" hidden="false" customHeight="false" outlineLevel="0" collapsed="false">
      <c r="D782" s="20"/>
      <c r="E782" s="20"/>
      <c r="I782" s="20"/>
      <c r="J782" s="20"/>
      <c r="K782" s="20"/>
      <c r="L782" s="20"/>
      <c r="M782" s="20"/>
      <c r="N782" s="20"/>
      <c r="O782" s="20"/>
      <c r="P782" s="20"/>
      <c r="Q782" s="20"/>
      <c r="R782" s="20"/>
      <c r="S782" s="20"/>
      <c r="T782" s="20"/>
      <c r="U782" s="20"/>
      <c r="V782" s="20"/>
      <c r="W782" s="20"/>
    </row>
    <row r="783" customFormat="false" ht="15.75" hidden="false" customHeight="false" outlineLevel="0" collapsed="false">
      <c r="D783" s="20"/>
      <c r="E783" s="20"/>
      <c r="I783" s="20"/>
      <c r="J783" s="20"/>
      <c r="K783" s="20"/>
      <c r="L783" s="20"/>
      <c r="M783" s="20"/>
      <c r="N783" s="20"/>
      <c r="O783" s="20"/>
      <c r="P783" s="20"/>
      <c r="Q783" s="20"/>
      <c r="R783" s="20"/>
      <c r="S783" s="20"/>
      <c r="T783" s="20"/>
      <c r="U783" s="20"/>
      <c r="V783" s="20"/>
      <c r="W783" s="20"/>
    </row>
    <row r="784" customFormat="false" ht="15.75" hidden="false" customHeight="false" outlineLevel="0" collapsed="false">
      <c r="D784" s="20"/>
      <c r="E784" s="20"/>
      <c r="I784" s="20"/>
      <c r="J784" s="20"/>
      <c r="K784" s="20"/>
      <c r="L784" s="20"/>
      <c r="M784" s="20"/>
      <c r="N784" s="20"/>
      <c r="O784" s="20"/>
      <c r="P784" s="20"/>
      <c r="Q784" s="20"/>
      <c r="R784" s="20"/>
      <c r="S784" s="20"/>
      <c r="T784" s="20"/>
      <c r="U784" s="20"/>
      <c r="V784" s="20"/>
      <c r="W784" s="20"/>
    </row>
    <row r="785" customFormat="false" ht="15.75" hidden="false" customHeight="false" outlineLevel="0" collapsed="false">
      <c r="D785" s="20"/>
      <c r="E785" s="20"/>
      <c r="I785" s="20"/>
      <c r="J785" s="20"/>
      <c r="K785" s="20"/>
      <c r="L785" s="20"/>
      <c r="M785" s="20"/>
      <c r="N785" s="20"/>
      <c r="O785" s="20"/>
      <c r="P785" s="20"/>
      <c r="Q785" s="20"/>
      <c r="R785" s="20"/>
      <c r="S785" s="20"/>
      <c r="T785" s="20"/>
      <c r="U785" s="20"/>
      <c r="V785" s="20"/>
      <c r="W785" s="20"/>
    </row>
    <row r="786" customFormat="false" ht="15.75" hidden="false" customHeight="false" outlineLevel="0" collapsed="false">
      <c r="D786" s="20"/>
      <c r="E786" s="20"/>
      <c r="I786" s="20"/>
      <c r="J786" s="20"/>
      <c r="K786" s="20"/>
      <c r="L786" s="20"/>
      <c r="M786" s="20"/>
      <c r="N786" s="20"/>
      <c r="O786" s="20"/>
      <c r="P786" s="20"/>
      <c r="Q786" s="20"/>
      <c r="R786" s="20"/>
      <c r="S786" s="20"/>
      <c r="T786" s="20"/>
      <c r="U786" s="20"/>
      <c r="V786" s="20"/>
      <c r="W786" s="20"/>
    </row>
    <row r="787" customFormat="false" ht="15.75" hidden="false" customHeight="false" outlineLevel="0" collapsed="false">
      <c r="D787" s="20"/>
      <c r="E787" s="20"/>
      <c r="I787" s="20"/>
      <c r="J787" s="20"/>
      <c r="K787" s="20"/>
      <c r="L787" s="20"/>
      <c r="M787" s="20"/>
      <c r="N787" s="20"/>
      <c r="O787" s="20"/>
      <c r="P787" s="20"/>
      <c r="Q787" s="20"/>
      <c r="R787" s="20"/>
      <c r="S787" s="20"/>
      <c r="T787" s="20"/>
      <c r="U787" s="20"/>
      <c r="V787" s="20"/>
      <c r="W787" s="20"/>
    </row>
    <row r="788" customFormat="false" ht="15.75" hidden="false" customHeight="false" outlineLevel="0" collapsed="false">
      <c r="D788" s="20"/>
      <c r="E788" s="20"/>
      <c r="I788" s="20"/>
      <c r="J788" s="20"/>
      <c r="K788" s="20"/>
      <c r="L788" s="20"/>
      <c r="M788" s="20"/>
      <c r="N788" s="20"/>
      <c r="O788" s="20"/>
      <c r="P788" s="20"/>
      <c r="Q788" s="20"/>
      <c r="R788" s="20"/>
      <c r="S788" s="20"/>
      <c r="T788" s="20"/>
      <c r="U788" s="20"/>
      <c r="V788" s="20"/>
      <c r="W788" s="20"/>
    </row>
    <row r="789" customFormat="false" ht="15.75" hidden="false" customHeight="false" outlineLevel="0" collapsed="false">
      <c r="D789" s="20"/>
      <c r="E789" s="20"/>
      <c r="I789" s="20"/>
      <c r="J789" s="20"/>
      <c r="K789" s="20"/>
      <c r="L789" s="20"/>
      <c r="M789" s="20"/>
      <c r="N789" s="20"/>
      <c r="O789" s="20"/>
      <c r="P789" s="20"/>
      <c r="Q789" s="20"/>
      <c r="R789" s="20"/>
      <c r="S789" s="20"/>
      <c r="T789" s="20"/>
      <c r="U789" s="20"/>
      <c r="V789" s="20"/>
      <c r="W789" s="20"/>
    </row>
    <row r="790" customFormat="false" ht="15.75" hidden="false" customHeight="false" outlineLevel="0" collapsed="false">
      <c r="D790" s="20"/>
      <c r="E790" s="20"/>
      <c r="I790" s="20"/>
      <c r="J790" s="20"/>
      <c r="K790" s="20"/>
      <c r="L790" s="20"/>
      <c r="M790" s="20"/>
      <c r="N790" s="20"/>
      <c r="O790" s="20"/>
      <c r="P790" s="20"/>
      <c r="Q790" s="20"/>
      <c r="R790" s="20"/>
      <c r="S790" s="20"/>
      <c r="T790" s="20"/>
      <c r="U790" s="20"/>
      <c r="V790" s="20"/>
      <c r="W790" s="20"/>
    </row>
    <row r="791" customFormat="false" ht="15.75" hidden="false" customHeight="false" outlineLevel="0" collapsed="false">
      <c r="D791" s="20"/>
      <c r="E791" s="20"/>
      <c r="I791" s="20"/>
      <c r="J791" s="20"/>
      <c r="K791" s="20"/>
      <c r="L791" s="20"/>
      <c r="M791" s="20"/>
      <c r="N791" s="20"/>
      <c r="O791" s="20"/>
      <c r="P791" s="20"/>
      <c r="Q791" s="20"/>
      <c r="R791" s="20"/>
      <c r="S791" s="20"/>
      <c r="T791" s="20"/>
      <c r="U791" s="20"/>
      <c r="V791" s="20"/>
      <c r="W791" s="20"/>
    </row>
    <row r="792" customFormat="false" ht="15.75" hidden="false" customHeight="false" outlineLevel="0" collapsed="false">
      <c r="D792" s="20"/>
      <c r="E792" s="20"/>
      <c r="I792" s="20"/>
      <c r="J792" s="20"/>
      <c r="K792" s="20"/>
      <c r="L792" s="20"/>
      <c r="M792" s="20"/>
      <c r="N792" s="20"/>
      <c r="O792" s="20"/>
      <c r="P792" s="20"/>
      <c r="Q792" s="20"/>
      <c r="R792" s="20"/>
      <c r="S792" s="20"/>
      <c r="T792" s="20"/>
      <c r="U792" s="20"/>
      <c r="V792" s="20"/>
      <c r="W792" s="20"/>
    </row>
    <row r="793" customFormat="false" ht="15.75" hidden="false" customHeight="false" outlineLevel="0" collapsed="false">
      <c r="D793" s="20"/>
      <c r="E793" s="20"/>
      <c r="I793" s="20"/>
      <c r="J793" s="20"/>
      <c r="K793" s="20"/>
      <c r="L793" s="20"/>
      <c r="M793" s="20"/>
      <c r="N793" s="20"/>
      <c r="O793" s="20"/>
      <c r="P793" s="20"/>
      <c r="Q793" s="20"/>
      <c r="R793" s="20"/>
      <c r="S793" s="20"/>
      <c r="T793" s="20"/>
      <c r="U793" s="20"/>
      <c r="V793" s="20"/>
      <c r="W793" s="20"/>
    </row>
    <row r="794" customFormat="false" ht="15.75" hidden="false" customHeight="false" outlineLevel="0" collapsed="false">
      <c r="D794" s="20"/>
      <c r="E794" s="20"/>
      <c r="I794" s="20"/>
      <c r="J794" s="20"/>
      <c r="K794" s="20"/>
      <c r="L794" s="20"/>
      <c r="M794" s="20"/>
      <c r="N794" s="20"/>
      <c r="O794" s="20"/>
      <c r="P794" s="20"/>
      <c r="Q794" s="20"/>
      <c r="R794" s="20"/>
      <c r="S794" s="20"/>
      <c r="T794" s="20"/>
      <c r="U794" s="20"/>
      <c r="V794" s="20"/>
      <c r="W794" s="20"/>
    </row>
    <row r="795" customFormat="false" ht="15.75" hidden="false" customHeight="false" outlineLevel="0" collapsed="false">
      <c r="D795" s="20"/>
      <c r="E795" s="20"/>
      <c r="I795" s="20"/>
      <c r="J795" s="20"/>
      <c r="K795" s="20"/>
      <c r="L795" s="20"/>
      <c r="M795" s="20"/>
      <c r="N795" s="20"/>
      <c r="O795" s="20"/>
      <c r="P795" s="20"/>
      <c r="Q795" s="20"/>
      <c r="R795" s="20"/>
      <c r="S795" s="20"/>
      <c r="T795" s="20"/>
      <c r="U795" s="20"/>
      <c r="V795" s="20"/>
      <c r="W795" s="20"/>
    </row>
    <row r="796" customFormat="false" ht="15.75" hidden="false" customHeight="false" outlineLevel="0" collapsed="false">
      <c r="D796" s="20"/>
      <c r="E796" s="20"/>
      <c r="I796" s="20"/>
      <c r="J796" s="20"/>
      <c r="K796" s="20"/>
      <c r="L796" s="20"/>
      <c r="M796" s="20"/>
      <c r="N796" s="20"/>
      <c r="O796" s="20"/>
      <c r="P796" s="20"/>
      <c r="Q796" s="20"/>
      <c r="R796" s="20"/>
      <c r="S796" s="20"/>
      <c r="T796" s="20"/>
      <c r="U796" s="20"/>
      <c r="V796" s="20"/>
      <c r="W796" s="20"/>
    </row>
    <row r="797" customFormat="false" ht="15.75" hidden="false" customHeight="false" outlineLevel="0" collapsed="false">
      <c r="D797" s="20"/>
      <c r="E797" s="20"/>
      <c r="I797" s="20"/>
      <c r="J797" s="20"/>
      <c r="K797" s="20"/>
      <c r="L797" s="20"/>
      <c r="M797" s="20"/>
      <c r="N797" s="20"/>
      <c r="O797" s="20"/>
      <c r="P797" s="20"/>
      <c r="Q797" s="20"/>
      <c r="R797" s="20"/>
      <c r="S797" s="20"/>
      <c r="T797" s="20"/>
      <c r="U797" s="20"/>
      <c r="V797" s="20"/>
      <c r="W797" s="20"/>
    </row>
    <row r="798" customFormat="false" ht="15.75" hidden="false" customHeight="false" outlineLevel="0" collapsed="false">
      <c r="D798" s="20"/>
      <c r="E798" s="20"/>
      <c r="I798" s="20"/>
      <c r="J798" s="20"/>
      <c r="K798" s="20"/>
      <c r="L798" s="20"/>
      <c r="M798" s="20"/>
      <c r="N798" s="20"/>
      <c r="O798" s="20"/>
      <c r="P798" s="20"/>
      <c r="Q798" s="20"/>
      <c r="R798" s="20"/>
      <c r="S798" s="20"/>
      <c r="T798" s="20"/>
      <c r="U798" s="20"/>
      <c r="V798" s="20"/>
      <c r="W798" s="20"/>
    </row>
    <row r="799" customFormat="false" ht="15.75" hidden="false" customHeight="false" outlineLevel="0" collapsed="false">
      <c r="D799" s="20"/>
      <c r="E799" s="20"/>
      <c r="I799" s="20"/>
      <c r="J799" s="20"/>
      <c r="K799" s="20"/>
      <c r="L799" s="20"/>
      <c r="M799" s="20"/>
      <c r="N799" s="20"/>
      <c r="O799" s="20"/>
      <c r="P799" s="20"/>
      <c r="Q799" s="20"/>
      <c r="R799" s="20"/>
      <c r="S799" s="20"/>
      <c r="T799" s="20"/>
      <c r="U799" s="20"/>
      <c r="V799" s="20"/>
      <c r="W799" s="20"/>
    </row>
    <row r="800" customFormat="false" ht="15.75" hidden="false" customHeight="false" outlineLevel="0" collapsed="false">
      <c r="D800" s="20"/>
      <c r="E800" s="20"/>
      <c r="I800" s="20"/>
      <c r="J800" s="20"/>
      <c r="K800" s="20"/>
      <c r="L800" s="20"/>
      <c r="M800" s="20"/>
      <c r="N800" s="20"/>
      <c r="O800" s="20"/>
      <c r="P800" s="20"/>
      <c r="Q800" s="20"/>
      <c r="R800" s="20"/>
      <c r="S800" s="20"/>
      <c r="T800" s="20"/>
      <c r="U800" s="20"/>
      <c r="V800" s="20"/>
      <c r="W800" s="20"/>
    </row>
    <row r="801" customFormat="false" ht="15.75" hidden="false" customHeight="false" outlineLevel="0" collapsed="false">
      <c r="D801" s="20"/>
      <c r="E801" s="20"/>
      <c r="I801" s="20"/>
      <c r="J801" s="20"/>
      <c r="K801" s="20"/>
      <c r="L801" s="20"/>
      <c r="M801" s="20"/>
      <c r="N801" s="20"/>
      <c r="O801" s="20"/>
      <c r="P801" s="20"/>
      <c r="Q801" s="20"/>
      <c r="R801" s="20"/>
      <c r="S801" s="20"/>
      <c r="T801" s="20"/>
      <c r="U801" s="20"/>
      <c r="V801" s="20"/>
      <c r="W801" s="20"/>
    </row>
    <row r="802" customFormat="false" ht="15.75" hidden="false" customHeight="false" outlineLevel="0" collapsed="false">
      <c r="D802" s="20"/>
      <c r="E802" s="20"/>
      <c r="I802" s="20"/>
      <c r="J802" s="20"/>
      <c r="K802" s="20"/>
      <c r="L802" s="20"/>
      <c r="M802" s="20"/>
      <c r="N802" s="20"/>
      <c r="O802" s="20"/>
      <c r="P802" s="20"/>
      <c r="Q802" s="20"/>
      <c r="R802" s="20"/>
      <c r="S802" s="20"/>
      <c r="T802" s="20"/>
      <c r="U802" s="20"/>
      <c r="V802" s="20"/>
      <c r="W802" s="20"/>
    </row>
    <row r="803" customFormat="false" ht="15.75" hidden="false" customHeight="false" outlineLevel="0" collapsed="false">
      <c r="D803" s="20"/>
      <c r="E803" s="20"/>
      <c r="I803" s="20"/>
      <c r="J803" s="20"/>
      <c r="K803" s="20"/>
      <c r="L803" s="20"/>
      <c r="M803" s="20"/>
      <c r="N803" s="20"/>
      <c r="O803" s="20"/>
      <c r="P803" s="20"/>
      <c r="Q803" s="20"/>
      <c r="R803" s="20"/>
      <c r="S803" s="20"/>
      <c r="T803" s="20"/>
      <c r="U803" s="20"/>
      <c r="V803" s="20"/>
      <c r="W803" s="20"/>
    </row>
    <row r="804" customFormat="false" ht="15.75" hidden="false" customHeight="false" outlineLevel="0" collapsed="false">
      <c r="D804" s="20"/>
      <c r="E804" s="20"/>
      <c r="I804" s="20"/>
      <c r="J804" s="20"/>
      <c r="K804" s="20"/>
      <c r="L804" s="20"/>
      <c r="M804" s="20"/>
      <c r="N804" s="20"/>
      <c r="O804" s="20"/>
      <c r="P804" s="20"/>
      <c r="Q804" s="20"/>
      <c r="R804" s="20"/>
      <c r="S804" s="20"/>
      <c r="T804" s="20"/>
      <c r="U804" s="20"/>
      <c r="V804" s="20"/>
      <c r="W804" s="20"/>
    </row>
    <row r="805" customFormat="false" ht="15.75" hidden="false" customHeight="false" outlineLevel="0" collapsed="false">
      <c r="D805" s="20"/>
      <c r="E805" s="20"/>
      <c r="I805" s="20"/>
      <c r="J805" s="20"/>
      <c r="K805" s="20"/>
      <c r="L805" s="20"/>
      <c r="M805" s="20"/>
      <c r="N805" s="20"/>
      <c r="O805" s="20"/>
      <c r="P805" s="20"/>
      <c r="Q805" s="20"/>
      <c r="R805" s="20"/>
      <c r="S805" s="20"/>
      <c r="T805" s="20"/>
      <c r="U805" s="20"/>
      <c r="V805" s="20"/>
      <c r="W805" s="20"/>
    </row>
    <row r="806" customFormat="false" ht="15.75" hidden="false" customHeight="false" outlineLevel="0" collapsed="false">
      <c r="D806" s="20"/>
      <c r="E806" s="20"/>
      <c r="I806" s="20"/>
      <c r="J806" s="20"/>
      <c r="K806" s="20"/>
      <c r="L806" s="20"/>
      <c r="M806" s="20"/>
      <c r="N806" s="20"/>
      <c r="O806" s="20"/>
      <c r="P806" s="20"/>
      <c r="Q806" s="20"/>
      <c r="R806" s="20"/>
      <c r="S806" s="20"/>
      <c r="T806" s="20"/>
      <c r="U806" s="20"/>
      <c r="V806" s="20"/>
      <c r="W806" s="20"/>
    </row>
    <row r="807" customFormat="false" ht="15.75" hidden="false" customHeight="false" outlineLevel="0" collapsed="false">
      <c r="D807" s="20"/>
      <c r="E807" s="20"/>
      <c r="I807" s="20"/>
      <c r="J807" s="20"/>
      <c r="K807" s="20"/>
      <c r="L807" s="20"/>
      <c r="M807" s="20"/>
      <c r="N807" s="20"/>
      <c r="O807" s="20"/>
      <c r="P807" s="20"/>
      <c r="Q807" s="20"/>
      <c r="R807" s="20"/>
      <c r="S807" s="20"/>
      <c r="T807" s="20"/>
      <c r="U807" s="20"/>
      <c r="V807" s="20"/>
      <c r="W807" s="20"/>
    </row>
    <row r="808" customFormat="false" ht="15.75" hidden="false" customHeight="false" outlineLevel="0" collapsed="false">
      <c r="D808" s="20"/>
      <c r="E808" s="20"/>
      <c r="I808" s="20"/>
      <c r="J808" s="20"/>
      <c r="K808" s="20"/>
      <c r="L808" s="20"/>
      <c r="M808" s="20"/>
      <c r="N808" s="20"/>
      <c r="O808" s="20"/>
      <c r="P808" s="20"/>
      <c r="Q808" s="20"/>
      <c r="R808" s="20"/>
      <c r="S808" s="20"/>
      <c r="T808" s="20"/>
      <c r="U808" s="20"/>
      <c r="V808" s="20"/>
      <c r="W808" s="20"/>
    </row>
    <row r="809" customFormat="false" ht="15.75" hidden="false" customHeight="false" outlineLevel="0" collapsed="false">
      <c r="D809" s="20"/>
      <c r="E809" s="20"/>
      <c r="I809" s="20"/>
      <c r="J809" s="20"/>
      <c r="K809" s="20"/>
      <c r="L809" s="20"/>
      <c r="M809" s="20"/>
      <c r="N809" s="20"/>
      <c r="O809" s="20"/>
      <c r="P809" s="20"/>
      <c r="Q809" s="20"/>
      <c r="R809" s="20"/>
      <c r="S809" s="20"/>
      <c r="T809" s="20"/>
      <c r="U809" s="20"/>
      <c r="V809" s="20"/>
      <c r="W809" s="20"/>
    </row>
    <row r="810" customFormat="false" ht="15.75" hidden="false" customHeight="false" outlineLevel="0" collapsed="false">
      <c r="D810" s="20"/>
      <c r="E810" s="20"/>
      <c r="I810" s="20"/>
      <c r="J810" s="20"/>
      <c r="K810" s="20"/>
      <c r="L810" s="20"/>
      <c r="M810" s="20"/>
      <c r="N810" s="20"/>
      <c r="O810" s="20"/>
      <c r="P810" s="20"/>
      <c r="Q810" s="20"/>
      <c r="R810" s="20"/>
      <c r="S810" s="20"/>
      <c r="T810" s="20"/>
      <c r="U810" s="20"/>
      <c r="V810" s="20"/>
      <c r="W810" s="20"/>
    </row>
    <row r="811" customFormat="false" ht="15.75" hidden="false" customHeight="false" outlineLevel="0" collapsed="false">
      <c r="D811" s="20"/>
      <c r="E811" s="20"/>
      <c r="I811" s="20"/>
      <c r="J811" s="20"/>
      <c r="K811" s="20"/>
      <c r="L811" s="20"/>
      <c r="M811" s="20"/>
      <c r="N811" s="20"/>
      <c r="O811" s="20"/>
      <c r="P811" s="20"/>
      <c r="Q811" s="20"/>
      <c r="R811" s="20"/>
      <c r="S811" s="20"/>
      <c r="T811" s="20"/>
      <c r="U811" s="20"/>
      <c r="V811" s="20"/>
      <c r="W811" s="20"/>
    </row>
    <row r="812" customFormat="false" ht="15.75" hidden="false" customHeight="false" outlineLevel="0" collapsed="false">
      <c r="D812" s="20"/>
      <c r="E812" s="20"/>
      <c r="I812" s="20"/>
      <c r="J812" s="20"/>
      <c r="K812" s="20"/>
      <c r="L812" s="20"/>
      <c r="M812" s="20"/>
      <c r="N812" s="20"/>
      <c r="O812" s="20"/>
      <c r="P812" s="20"/>
      <c r="Q812" s="20"/>
      <c r="R812" s="20"/>
      <c r="S812" s="20"/>
      <c r="T812" s="20"/>
      <c r="U812" s="20"/>
      <c r="V812" s="20"/>
      <c r="W812" s="20"/>
    </row>
    <row r="813" customFormat="false" ht="15.75" hidden="false" customHeight="false" outlineLevel="0" collapsed="false">
      <c r="D813" s="20"/>
      <c r="E813" s="20"/>
      <c r="I813" s="20"/>
      <c r="J813" s="20"/>
      <c r="K813" s="20"/>
      <c r="L813" s="20"/>
      <c r="M813" s="20"/>
      <c r="N813" s="20"/>
      <c r="O813" s="20"/>
      <c r="P813" s="20"/>
      <c r="Q813" s="20"/>
      <c r="R813" s="20"/>
      <c r="S813" s="20"/>
      <c r="T813" s="20"/>
      <c r="U813" s="20"/>
      <c r="V813" s="20"/>
      <c r="W813" s="20"/>
    </row>
    <row r="814" customFormat="false" ht="15.75" hidden="false" customHeight="false" outlineLevel="0" collapsed="false">
      <c r="D814" s="20"/>
      <c r="E814" s="20"/>
      <c r="I814" s="20"/>
      <c r="J814" s="20"/>
      <c r="K814" s="20"/>
      <c r="L814" s="20"/>
      <c r="M814" s="20"/>
      <c r="N814" s="20"/>
      <c r="O814" s="20"/>
      <c r="P814" s="20"/>
      <c r="Q814" s="20"/>
      <c r="R814" s="20"/>
      <c r="S814" s="20"/>
      <c r="T814" s="20"/>
      <c r="U814" s="20"/>
      <c r="V814" s="20"/>
      <c r="W814" s="20"/>
    </row>
    <row r="815" customFormat="false" ht="15.75" hidden="false" customHeight="false" outlineLevel="0" collapsed="false">
      <c r="D815" s="20"/>
      <c r="E815" s="20"/>
      <c r="I815" s="20"/>
      <c r="J815" s="20"/>
      <c r="K815" s="20"/>
      <c r="L815" s="20"/>
      <c r="M815" s="20"/>
      <c r="N815" s="20"/>
      <c r="O815" s="20"/>
      <c r="P815" s="20"/>
      <c r="Q815" s="20"/>
      <c r="R815" s="20"/>
      <c r="S815" s="20"/>
      <c r="T815" s="20"/>
      <c r="U815" s="20"/>
      <c r="V815" s="20"/>
      <c r="W815" s="20"/>
    </row>
    <row r="816" customFormat="false" ht="15.75" hidden="false" customHeight="false" outlineLevel="0" collapsed="false">
      <c r="D816" s="20"/>
      <c r="E816" s="20"/>
      <c r="I816" s="20"/>
      <c r="J816" s="20"/>
      <c r="K816" s="20"/>
      <c r="L816" s="20"/>
      <c r="M816" s="20"/>
      <c r="N816" s="20"/>
      <c r="O816" s="20"/>
      <c r="P816" s="20"/>
      <c r="Q816" s="20"/>
      <c r="R816" s="20"/>
      <c r="S816" s="20"/>
      <c r="T816" s="20"/>
      <c r="U816" s="20"/>
      <c r="V816" s="20"/>
      <c r="W816" s="20"/>
    </row>
    <row r="817" customFormat="false" ht="15.75" hidden="false" customHeight="false" outlineLevel="0" collapsed="false">
      <c r="D817" s="20"/>
      <c r="E817" s="20"/>
      <c r="I817" s="20"/>
      <c r="J817" s="20"/>
      <c r="K817" s="20"/>
      <c r="L817" s="20"/>
      <c r="M817" s="20"/>
      <c r="N817" s="20"/>
      <c r="O817" s="20"/>
      <c r="P817" s="20"/>
      <c r="Q817" s="20"/>
      <c r="R817" s="20"/>
      <c r="S817" s="20"/>
      <c r="T817" s="20"/>
      <c r="U817" s="20"/>
      <c r="V817" s="20"/>
      <c r="W817" s="20"/>
    </row>
    <row r="818" customFormat="false" ht="15.75" hidden="false" customHeight="false" outlineLevel="0" collapsed="false">
      <c r="D818" s="20"/>
      <c r="E818" s="20"/>
      <c r="I818" s="20"/>
      <c r="J818" s="20"/>
      <c r="K818" s="20"/>
      <c r="L818" s="20"/>
      <c r="M818" s="20"/>
      <c r="N818" s="20"/>
      <c r="O818" s="20"/>
      <c r="P818" s="20"/>
      <c r="Q818" s="20"/>
      <c r="R818" s="20"/>
      <c r="S818" s="20"/>
      <c r="T818" s="20"/>
      <c r="U818" s="20"/>
      <c r="V818" s="20"/>
      <c r="W818" s="20"/>
    </row>
    <row r="819" customFormat="false" ht="15.75" hidden="false" customHeight="false" outlineLevel="0" collapsed="false">
      <c r="D819" s="20"/>
      <c r="E819" s="20"/>
      <c r="I819" s="20"/>
      <c r="J819" s="20"/>
      <c r="K819" s="20"/>
      <c r="L819" s="20"/>
      <c r="M819" s="20"/>
      <c r="N819" s="20"/>
      <c r="O819" s="20"/>
      <c r="P819" s="20"/>
      <c r="Q819" s="20"/>
      <c r="R819" s="20"/>
      <c r="S819" s="20"/>
      <c r="T819" s="20"/>
      <c r="U819" s="20"/>
      <c r="V819" s="20"/>
      <c r="W819" s="20"/>
    </row>
    <row r="820" customFormat="false" ht="15.75" hidden="false" customHeight="false" outlineLevel="0" collapsed="false">
      <c r="D820" s="20"/>
      <c r="E820" s="20"/>
      <c r="I820" s="20"/>
      <c r="J820" s="20"/>
      <c r="K820" s="20"/>
      <c r="L820" s="20"/>
      <c r="M820" s="20"/>
      <c r="N820" s="20"/>
      <c r="O820" s="20"/>
      <c r="P820" s="20"/>
      <c r="Q820" s="20"/>
      <c r="R820" s="20"/>
      <c r="S820" s="20"/>
      <c r="T820" s="20"/>
      <c r="U820" s="20"/>
      <c r="V820" s="20"/>
      <c r="W820" s="20"/>
    </row>
    <row r="821" customFormat="false" ht="15.75" hidden="false" customHeight="false" outlineLevel="0" collapsed="false">
      <c r="D821" s="20"/>
      <c r="E821" s="20"/>
      <c r="I821" s="20"/>
      <c r="J821" s="20"/>
      <c r="K821" s="20"/>
      <c r="L821" s="20"/>
      <c r="M821" s="20"/>
      <c r="N821" s="20"/>
      <c r="O821" s="20"/>
      <c r="P821" s="20"/>
      <c r="Q821" s="20"/>
      <c r="R821" s="20"/>
      <c r="S821" s="20"/>
      <c r="T821" s="20"/>
      <c r="U821" s="20"/>
      <c r="V821" s="20"/>
      <c r="W821" s="20"/>
    </row>
    <row r="822" customFormat="false" ht="15.75" hidden="false" customHeight="false" outlineLevel="0" collapsed="false">
      <c r="D822" s="20"/>
      <c r="E822" s="20"/>
      <c r="I822" s="20"/>
      <c r="J822" s="20"/>
      <c r="K822" s="20"/>
      <c r="L822" s="20"/>
      <c r="M822" s="20"/>
      <c r="N822" s="20"/>
      <c r="O822" s="20"/>
      <c r="P822" s="20"/>
      <c r="Q822" s="20"/>
      <c r="R822" s="20"/>
      <c r="S822" s="20"/>
      <c r="T822" s="20"/>
      <c r="U822" s="20"/>
      <c r="V822" s="20"/>
      <c r="W822" s="20"/>
    </row>
    <row r="823" customFormat="false" ht="15.75" hidden="false" customHeight="false" outlineLevel="0" collapsed="false">
      <c r="D823" s="20"/>
      <c r="E823" s="20"/>
      <c r="I823" s="20"/>
      <c r="J823" s="20"/>
      <c r="K823" s="20"/>
      <c r="L823" s="20"/>
      <c r="M823" s="20"/>
      <c r="N823" s="20"/>
      <c r="O823" s="20"/>
      <c r="P823" s="20"/>
      <c r="Q823" s="20"/>
      <c r="R823" s="20"/>
      <c r="S823" s="20"/>
      <c r="T823" s="20"/>
      <c r="U823" s="20"/>
      <c r="V823" s="20"/>
      <c r="W823" s="20"/>
    </row>
    <row r="824" customFormat="false" ht="15.75" hidden="false" customHeight="false" outlineLevel="0" collapsed="false">
      <c r="D824" s="20"/>
      <c r="E824" s="20"/>
      <c r="I824" s="20"/>
      <c r="J824" s="20"/>
      <c r="K824" s="20"/>
      <c r="L824" s="20"/>
      <c r="M824" s="20"/>
      <c r="N824" s="20"/>
      <c r="O824" s="20"/>
      <c r="P824" s="20"/>
      <c r="Q824" s="20"/>
      <c r="R824" s="20"/>
      <c r="S824" s="20"/>
      <c r="T824" s="20"/>
      <c r="U824" s="20"/>
      <c r="V824" s="20"/>
      <c r="W824" s="20"/>
    </row>
    <row r="825" customFormat="false" ht="15.75" hidden="false" customHeight="false" outlineLevel="0" collapsed="false">
      <c r="D825" s="20"/>
      <c r="E825" s="20"/>
      <c r="I825" s="20"/>
      <c r="J825" s="20"/>
      <c r="K825" s="20"/>
      <c r="L825" s="20"/>
      <c r="M825" s="20"/>
      <c r="N825" s="20"/>
      <c r="O825" s="20"/>
      <c r="P825" s="20"/>
      <c r="Q825" s="20"/>
      <c r="R825" s="20"/>
      <c r="S825" s="20"/>
      <c r="T825" s="20"/>
      <c r="U825" s="20"/>
      <c r="V825" s="20"/>
      <c r="W825" s="20"/>
    </row>
    <row r="826" customFormat="false" ht="15.75" hidden="false" customHeight="false" outlineLevel="0" collapsed="false">
      <c r="D826" s="20"/>
      <c r="E826" s="20"/>
      <c r="I826" s="20"/>
      <c r="J826" s="20"/>
      <c r="K826" s="20"/>
      <c r="L826" s="20"/>
      <c r="M826" s="20"/>
      <c r="N826" s="20"/>
      <c r="O826" s="20"/>
      <c r="P826" s="20"/>
      <c r="Q826" s="20"/>
      <c r="R826" s="20"/>
      <c r="S826" s="20"/>
      <c r="T826" s="20"/>
      <c r="U826" s="20"/>
      <c r="V826" s="20"/>
      <c r="W826" s="20"/>
    </row>
    <row r="827" customFormat="false" ht="15.75" hidden="false" customHeight="false" outlineLevel="0" collapsed="false">
      <c r="D827" s="20"/>
      <c r="E827" s="20"/>
      <c r="I827" s="20"/>
      <c r="J827" s="20"/>
      <c r="K827" s="20"/>
      <c r="L827" s="20"/>
      <c r="M827" s="20"/>
      <c r="N827" s="20"/>
      <c r="O827" s="20"/>
      <c r="P827" s="20"/>
      <c r="Q827" s="20"/>
      <c r="R827" s="20"/>
      <c r="S827" s="20"/>
      <c r="T827" s="20"/>
      <c r="U827" s="20"/>
      <c r="V827" s="20"/>
      <c r="W827" s="20"/>
    </row>
    <row r="828" customFormat="false" ht="15.75" hidden="false" customHeight="false" outlineLevel="0" collapsed="false">
      <c r="D828" s="20"/>
      <c r="E828" s="20"/>
      <c r="I828" s="20"/>
      <c r="J828" s="20"/>
      <c r="K828" s="20"/>
      <c r="L828" s="20"/>
      <c r="M828" s="20"/>
      <c r="N828" s="20"/>
      <c r="O828" s="20"/>
      <c r="P828" s="20"/>
      <c r="Q828" s="20"/>
      <c r="R828" s="20"/>
      <c r="S828" s="20"/>
      <c r="T828" s="20"/>
      <c r="U828" s="20"/>
      <c r="V828" s="20"/>
      <c r="W828" s="20"/>
    </row>
    <row r="829" customFormat="false" ht="15.75" hidden="false" customHeight="false" outlineLevel="0" collapsed="false">
      <c r="D829" s="20"/>
      <c r="E829" s="20"/>
      <c r="I829" s="20"/>
      <c r="J829" s="20"/>
      <c r="K829" s="20"/>
      <c r="L829" s="20"/>
      <c r="M829" s="20"/>
      <c r="N829" s="20"/>
      <c r="O829" s="20"/>
      <c r="P829" s="20"/>
      <c r="Q829" s="20"/>
      <c r="R829" s="20"/>
      <c r="S829" s="20"/>
      <c r="T829" s="20"/>
      <c r="U829" s="20"/>
      <c r="V829" s="20"/>
      <c r="W829" s="20"/>
    </row>
    <row r="830" customFormat="false" ht="15.75" hidden="false" customHeight="false" outlineLevel="0" collapsed="false">
      <c r="D830" s="20"/>
      <c r="E830" s="20"/>
      <c r="I830" s="20"/>
      <c r="J830" s="20"/>
      <c r="K830" s="20"/>
      <c r="L830" s="20"/>
      <c r="M830" s="20"/>
      <c r="N830" s="20"/>
      <c r="O830" s="20"/>
      <c r="P830" s="20"/>
      <c r="Q830" s="20"/>
      <c r="R830" s="20"/>
      <c r="S830" s="20"/>
      <c r="T830" s="20"/>
      <c r="U830" s="20"/>
      <c r="V830" s="20"/>
      <c r="W830" s="20"/>
    </row>
    <row r="831" customFormat="false" ht="15.75" hidden="false" customHeight="false" outlineLevel="0" collapsed="false">
      <c r="D831" s="20"/>
      <c r="E831" s="20"/>
      <c r="I831" s="20"/>
      <c r="J831" s="20"/>
      <c r="K831" s="20"/>
      <c r="L831" s="20"/>
      <c r="M831" s="20"/>
      <c r="N831" s="20"/>
      <c r="O831" s="20"/>
      <c r="P831" s="20"/>
      <c r="Q831" s="20"/>
      <c r="R831" s="20"/>
      <c r="S831" s="20"/>
      <c r="T831" s="20"/>
      <c r="U831" s="20"/>
      <c r="V831" s="20"/>
      <c r="W831" s="20"/>
    </row>
    <row r="832" customFormat="false" ht="15.75" hidden="false" customHeight="false" outlineLevel="0" collapsed="false">
      <c r="D832" s="20"/>
      <c r="E832" s="20"/>
      <c r="I832" s="20"/>
      <c r="J832" s="20"/>
      <c r="K832" s="20"/>
      <c r="L832" s="20"/>
      <c r="M832" s="20"/>
      <c r="N832" s="20"/>
      <c r="O832" s="20"/>
      <c r="P832" s="20"/>
      <c r="Q832" s="20"/>
      <c r="R832" s="20"/>
      <c r="S832" s="20"/>
      <c r="T832" s="20"/>
      <c r="U832" s="20"/>
      <c r="V832" s="20"/>
      <c r="W832" s="20"/>
    </row>
    <row r="833" customFormat="false" ht="15.75" hidden="false" customHeight="false" outlineLevel="0" collapsed="false">
      <c r="D833" s="20"/>
      <c r="E833" s="20"/>
      <c r="I833" s="20"/>
      <c r="J833" s="20"/>
      <c r="K833" s="20"/>
      <c r="L833" s="20"/>
      <c r="M833" s="20"/>
      <c r="N833" s="20"/>
      <c r="O833" s="20"/>
      <c r="P833" s="20"/>
      <c r="Q833" s="20"/>
      <c r="R833" s="20"/>
      <c r="S833" s="20"/>
      <c r="T833" s="20"/>
      <c r="U833" s="20"/>
      <c r="V833" s="20"/>
      <c r="W833" s="20"/>
    </row>
    <row r="834" customFormat="false" ht="15.75" hidden="false" customHeight="false" outlineLevel="0" collapsed="false">
      <c r="D834" s="20"/>
      <c r="E834" s="20"/>
      <c r="I834" s="20"/>
      <c r="J834" s="20"/>
      <c r="K834" s="20"/>
      <c r="L834" s="20"/>
      <c r="M834" s="20"/>
      <c r="N834" s="20"/>
      <c r="O834" s="20"/>
      <c r="P834" s="20"/>
      <c r="Q834" s="20"/>
      <c r="R834" s="20"/>
      <c r="S834" s="20"/>
      <c r="T834" s="20"/>
      <c r="U834" s="20"/>
      <c r="V834" s="20"/>
      <c r="W834" s="20"/>
    </row>
    <row r="835" customFormat="false" ht="15.75" hidden="false" customHeight="false" outlineLevel="0" collapsed="false">
      <c r="D835" s="20"/>
      <c r="E835" s="20"/>
      <c r="I835" s="20"/>
      <c r="J835" s="20"/>
      <c r="K835" s="20"/>
      <c r="L835" s="20"/>
      <c r="M835" s="20"/>
      <c r="N835" s="20"/>
      <c r="O835" s="20"/>
      <c r="P835" s="20"/>
      <c r="Q835" s="20"/>
      <c r="R835" s="20"/>
      <c r="S835" s="20"/>
      <c r="T835" s="20"/>
      <c r="U835" s="20"/>
      <c r="V835" s="20"/>
      <c r="W835" s="20"/>
    </row>
    <row r="836" customFormat="false" ht="15.75" hidden="false" customHeight="false" outlineLevel="0" collapsed="false">
      <c r="D836" s="20"/>
      <c r="E836" s="20"/>
      <c r="I836" s="20"/>
      <c r="J836" s="20"/>
      <c r="K836" s="20"/>
      <c r="L836" s="20"/>
      <c r="M836" s="20"/>
      <c r="N836" s="20"/>
      <c r="O836" s="20"/>
      <c r="P836" s="20"/>
      <c r="Q836" s="20"/>
      <c r="R836" s="20"/>
      <c r="S836" s="20"/>
      <c r="T836" s="20"/>
      <c r="U836" s="20"/>
      <c r="V836" s="20"/>
      <c r="W836" s="20"/>
    </row>
    <row r="837" customFormat="false" ht="15.75" hidden="false" customHeight="false" outlineLevel="0" collapsed="false">
      <c r="D837" s="20"/>
      <c r="E837" s="20"/>
      <c r="I837" s="20"/>
      <c r="J837" s="20"/>
      <c r="K837" s="20"/>
      <c r="L837" s="20"/>
      <c r="M837" s="20"/>
      <c r="N837" s="20"/>
      <c r="O837" s="20"/>
      <c r="P837" s="20"/>
      <c r="Q837" s="20"/>
      <c r="R837" s="20"/>
      <c r="S837" s="20"/>
      <c r="T837" s="20"/>
      <c r="U837" s="20"/>
      <c r="V837" s="20"/>
      <c r="W837" s="20"/>
    </row>
    <row r="838" customFormat="false" ht="15.75" hidden="false" customHeight="false" outlineLevel="0" collapsed="false">
      <c r="D838" s="20"/>
      <c r="E838" s="20"/>
      <c r="I838" s="20"/>
      <c r="J838" s="20"/>
      <c r="K838" s="20"/>
      <c r="L838" s="20"/>
      <c r="M838" s="20"/>
      <c r="N838" s="20"/>
      <c r="O838" s="20"/>
      <c r="P838" s="20"/>
      <c r="Q838" s="20"/>
      <c r="R838" s="20"/>
      <c r="S838" s="20"/>
      <c r="T838" s="20"/>
      <c r="U838" s="20"/>
      <c r="V838" s="20"/>
      <c r="W838" s="20"/>
    </row>
    <row r="839" customFormat="false" ht="15.75" hidden="false" customHeight="false" outlineLevel="0" collapsed="false">
      <c r="D839" s="20"/>
      <c r="E839" s="20"/>
      <c r="I839" s="20"/>
      <c r="J839" s="20"/>
      <c r="K839" s="20"/>
      <c r="L839" s="20"/>
      <c r="M839" s="20"/>
      <c r="N839" s="20"/>
      <c r="O839" s="20"/>
      <c r="P839" s="20"/>
      <c r="Q839" s="20"/>
      <c r="R839" s="20"/>
      <c r="S839" s="20"/>
      <c r="T839" s="20"/>
      <c r="U839" s="20"/>
      <c r="V839" s="20"/>
      <c r="W839" s="20"/>
    </row>
    <row r="840" customFormat="false" ht="15.75" hidden="false" customHeight="false" outlineLevel="0" collapsed="false">
      <c r="D840" s="20"/>
      <c r="E840" s="20"/>
      <c r="I840" s="20"/>
      <c r="J840" s="20"/>
      <c r="K840" s="20"/>
      <c r="L840" s="20"/>
      <c r="M840" s="20"/>
      <c r="N840" s="20"/>
      <c r="O840" s="20"/>
      <c r="P840" s="20"/>
      <c r="Q840" s="20"/>
      <c r="R840" s="20"/>
      <c r="S840" s="20"/>
      <c r="T840" s="20"/>
      <c r="U840" s="20"/>
      <c r="V840" s="20"/>
      <c r="W840" s="20"/>
    </row>
    <row r="841" customFormat="false" ht="15.75" hidden="false" customHeight="false" outlineLevel="0" collapsed="false">
      <c r="D841" s="20"/>
      <c r="E841" s="20"/>
      <c r="I841" s="20"/>
      <c r="J841" s="20"/>
      <c r="K841" s="20"/>
      <c r="L841" s="20"/>
      <c r="M841" s="20"/>
      <c r="N841" s="20"/>
      <c r="O841" s="20"/>
      <c r="P841" s="20"/>
      <c r="Q841" s="20"/>
      <c r="R841" s="20"/>
      <c r="S841" s="20"/>
      <c r="T841" s="20"/>
      <c r="U841" s="20"/>
      <c r="V841" s="20"/>
      <c r="W841" s="20"/>
    </row>
    <row r="842" customFormat="false" ht="15.75" hidden="false" customHeight="false" outlineLevel="0" collapsed="false">
      <c r="D842" s="20"/>
      <c r="E842" s="20"/>
      <c r="I842" s="20"/>
      <c r="J842" s="20"/>
      <c r="K842" s="20"/>
      <c r="L842" s="20"/>
      <c r="M842" s="20"/>
      <c r="N842" s="20"/>
      <c r="O842" s="20"/>
      <c r="P842" s="20"/>
      <c r="Q842" s="20"/>
      <c r="R842" s="20"/>
      <c r="S842" s="20"/>
      <c r="T842" s="20"/>
      <c r="U842" s="20"/>
      <c r="V842" s="20"/>
      <c r="W842" s="20"/>
    </row>
    <row r="843" customFormat="false" ht="15.75" hidden="false" customHeight="false" outlineLevel="0" collapsed="false">
      <c r="D843" s="20"/>
      <c r="E843" s="20"/>
      <c r="I843" s="20"/>
      <c r="J843" s="20"/>
      <c r="K843" s="20"/>
      <c r="L843" s="20"/>
      <c r="M843" s="20"/>
      <c r="N843" s="20"/>
      <c r="O843" s="20"/>
      <c r="P843" s="20"/>
      <c r="Q843" s="20"/>
      <c r="R843" s="20"/>
      <c r="S843" s="20"/>
      <c r="T843" s="20"/>
      <c r="U843" s="20"/>
      <c r="V843" s="20"/>
      <c r="W843" s="20"/>
    </row>
    <row r="844" customFormat="false" ht="15.75" hidden="false" customHeight="false" outlineLevel="0" collapsed="false">
      <c r="D844" s="20"/>
      <c r="E844" s="20"/>
      <c r="I844" s="20"/>
      <c r="J844" s="20"/>
      <c r="K844" s="20"/>
      <c r="L844" s="20"/>
      <c r="M844" s="20"/>
      <c r="N844" s="20"/>
      <c r="O844" s="20"/>
      <c r="P844" s="20"/>
      <c r="Q844" s="20"/>
      <c r="R844" s="20"/>
      <c r="S844" s="20"/>
      <c r="T844" s="20"/>
      <c r="U844" s="20"/>
      <c r="V844" s="20"/>
      <c r="W844" s="20"/>
    </row>
    <row r="845" customFormat="false" ht="15.75" hidden="false" customHeight="false" outlineLevel="0" collapsed="false">
      <c r="D845" s="20"/>
      <c r="E845" s="20"/>
      <c r="I845" s="20"/>
      <c r="J845" s="20"/>
      <c r="K845" s="20"/>
      <c r="L845" s="20"/>
      <c r="M845" s="20"/>
      <c r="N845" s="20"/>
      <c r="O845" s="20"/>
      <c r="P845" s="20"/>
      <c r="Q845" s="20"/>
      <c r="R845" s="20"/>
      <c r="S845" s="20"/>
      <c r="T845" s="20"/>
      <c r="U845" s="20"/>
      <c r="V845" s="20"/>
      <c r="W845" s="20"/>
    </row>
    <row r="846" customFormat="false" ht="15.75" hidden="false" customHeight="false" outlineLevel="0" collapsed="false">
      <c r="D846" s="20"/>
      <c r="E846" s="20"/>
      <c r="I846" s="20"/>
      <c r="J846" s="20"/>
      <c r="K846" s="20"/>
      <c r="L846" s="20"/>
      <c r="M846" s="20"/>
      <c r="N846" s="20"/>
      <c r="O846" s="20"/>
      <c r="P846" s="20"/>
      <c r="Q846" s="20"/>
      <c r="R846" s="20"/>
      <c r="S846" s="20"/>
      <c r="T846" s="20"/>
      <c r="U846" s="20"/>
      <c r="V846" s="20"/>
      <c r="W846" s="20"/>
    </row>
    <row r="847" customFormat="false" ht="15.75" hidden="false" customHeight="false" outlineLevel="0" collapsed="false">
      <c r="D847" s="20"/>
      <c r="E847" s="20"/>
      <c r="I847" s="20"/>
      <c r="J847" s="20"/>
      <c r="K847" s="20"/>
      <c r="L847" s="20"/>
      <c r="M847" s="20"/>
      <c r="N847" s="20"/>
      <c r="O847" s="20"/>
      <c r="P847" s="20"/>
      <c r="Q847" s="20"/>
      <c r="R847" s="20"/>
      <c r="S847" s="20"/>
      <c r="T847" s="20"/>
      <c r="U847" s="20"/>
      <c r="V847" s="20"/>
      <c r="W847" s="20"/>
    </row>
    <row r="848" customFormat="false" ht="15.75" hidden="false" customHeight="false" outlineLevel="0" collapsed="false">
      <c r="D848" s="20"/>
      <c r="E848" s="20"/>
      <c r="I848" s="20"/>
      <c r="J848" s="20"/>
      <c r="K848" s="20"/>
      <c r="L848" s="20"/>
      <c r="M848" s="20"/>
      <c r="N848" s="20"/>
      <c r="O848" s="20"/>
      <c r="P848" s="20"/>
      <c r="Q848" s="20"/>
      <c r="R848" s="20"/>
      <c r="S848" s="20"/>
      <c r="T848" s="20"/>
      <c r="U848" s="20"/>
      <c r="V848" s="20"/>
      <c r="W848" s="20"/>
    </row>
    <row r="849" customFormat="false" ht="15.75" hidden="false" customHeight="false" outlineLevel="0" collapsed="false">
      <c r="D849" s="20"/>
      <c r="E849" s="20"/>
      <c r="I849" s="20"/>
      <c r="J849" s="20"/>
      <c r="K849" s="20"/>
      <c r="L849" s="20"/>
      <c r="M849" s="20"/>
      <c r="N849" s="20"/>
      <c r="O849" s="20"/>
      <c r="P849" s="20"/>
      <c r="Q849" s="20"/>
      <c r="R849" s="20"/>
      <c r="S849" s="20"/>
      <c r="T849" s="20"/>
      <c r="U849" s="20"/>
      <c r="V849" s="20"/>
      <c r="W849" s="20"/>
    </row>
    <row r="850" customFormat="false" ht="15.75" hidden="false" customHeight="false" outlineLevel="0" collapsed="false">
      <c r="D850" s="20"/>
      <c r="E850" s="20"/>
      <c r="I850" s="20"/>
      <c r="J850" s="20"/>
      <c r="K850" s="20"/>
      <c r="L850" s="20"/>
      <c r="M850" s="20"/>
      <c r="N850" s="20"/>
      <c r="O850" s="20"/>
      <c r="P850" s="20"/>
      <c r="Q850" s="20"/>
      <c r="R850" s="20"/>
      <c r="S850" s="20"/>
      <c r="T850" s="20"/>
      <c r="U850" s="20"/>
      <c r="V850" s="20"/>
      <c r="W850" s="20"/>
    </row>
    <row r="851" customFormat="false" ht="15.75" hidden="false" customHeight="false" outlineLevel="0" collapsed="false">
      <c r="D851" s="20"/>
      <c r="E851" s="20"/>
      <c r="I851" s="20"/>
      <c r="J851" s="20"/>
      <c r="K851" s="20"/>
      <c r="L851" s="20"/>
      <c r="M851" s="20"/>
      <c r="N851" s="20"/>
      <c r="O851" s="20"/>
      <c r="P851" s="20"/>
      <c r="Q851" s="20"/>
      <c r="R851" s="20"/>
      <c r="S851" s="20"/>
      <c r="T851" s="20"/>
      <c r="U851" s="20"/>
      <c r="V851" s="20"/>
      <c r="W851" s="20"/>
    </row>
    <row r="852" customFormat="false" ht="15.75" hidden="false" customHeight="false" outlineLevel="0" collapsed="false">
      <c r="D852" s="20"/>
      <c r="E852" s="20"/>
      <c r="I852" s="20"/>
      <c r="J852" s="20"/>
      <c r="K852" s="20"/>
      <c r="L852" s="20"/>
      <c r="M852" s="20"/>
      <c r="N852" s="20"/>
      <c r="O852" s="20"/>
      <c r="P852" s="20"/>
      <c r="Q852" s="20"/>
      <c r="R852" s="20"/>
      <c r="S852" s="20"/>
      <c r="T852" s="20"/>
      <c r="U852" s="20"/>
      <c r="V852" s="20"/>
      <c r="W852" s="20"/>
    </row>
    <row r="853" customFormat="false" ht="15.75" hidden="false" customHeight="false" outlineLevel="0" collapsed="false">
      <c r="D853" s="20"/>
      <c r="E853" s="20"/>
      <c r="I853" s="20"/>
      <c r="J853" s="20"/>
      <c r="K853" s="20"/>
      <c r="L853" s="20"/>
      <c r="M853" s="20"/>
      <c r="N853" s="20"/>
      <c r="O853" s="20"/>
      <c r="P853" s="20"/>
      <c r="Q853" s="20"/>
      <c r="R853" s="20"/>
      <c r="S853" s="20"/>
      <c r="T853" s="20"/>
      <c r="U853" s="20"/>
      <c r="V853" s="20"/>
      <c r="W853" s="20"/>
    </row>
    <row r="854" customFormat="false" ht="15.75" hidden="false" customHeight="false" outlineLevel="0" collapsed="false">
      <c r="D854" s="20"/>
      <c r="E854" s="20"/>
      <c r="I854" s="20"/>
      <c r="J854" s="20"/>
      <c r="K854" s="20"/>
      <c r="L854" s="20"/>
      <c r="M854" s="20"/>
      <c r="N854" s="20"/>
      <c r="O854" s="20"/>
      <c r="P854" s="20"/>
      <c r="Q854" s="20"/>
      <c r="R854" s="20"/>
      <c r="S854" s="20"/>
      <c r="T854" s="20"/>
      <c r="U854" s="20"/>
      <c r="V854" s="20"/>
      <c r="W854" s="20"/>
    </row>
    <row r="855" customFormat="false" ht="15.75" hidden="false" customHeight="false" outlineLevel="0" collapsed="false">
      <c r="D855" s="20"/>
      <c r="E855" s="20"/>
      <c r="I855" s="20"/>
      <c r="J855" s="20"/>
      <c r="K855" s="20"/>
      <c r="L855" s="20"/>
      <c r="M855" s="20"/>
      <c r="N855" s="20"/>
      <c r="O855" s="20"/>
      <c r="P855" s="20"/>
      <c r="Q855" s="20"/>
      <c r="R855" s="20"/>
      <c r="S855" s="20"/>
      <c r="T855" s="20"/>
      <c r="U855" s="20"/>
      <c r="V855" s="20"/>
      <c r="W855" s="20"/>
    </row>
    <row r="856" customFormat="false" ht="15.75" hidden="false" customHeight="false" outlineLevel="0" collapsed="false">
      <c r="D856" s="20"/>
      <c r="E856" s="20"/>
      <c r="I856" s="20"/>
      <c r="J856" s="20"/>
      <c r="K856" s="20"/>
      <c r="L856" s="20"/>
      <c r="M856" s="20"/>
      <c r="N856" s="20"/>
      <c r="O856" s="20"/>
      <c r="P856" s="20"/>
      <c r="Q856" s="20"/>
      <c r="R856" s="20"/>
      <c r="S856" s="20"/>
      <c r="T856" s="20"/>
      <c r="U856" s="20"/>
      <c r="V856" s="20"/>
      <c r="W856" s="20"/>
    </row>
    <row r="857" customFormat="false" ht="15.75" hidden="false" customHeight="false" outlineLevel="0" collapsed="false">
      <c r="D857" s="20"/>
      <c r="E857" s="20"/>
      <c r="I857" s="20"/>
      <c r="J857" s="20"/>
      <c r="K857" s="20"/>
      <c r="L857" s="20"/>
      <c r="M857" s="20"/>
      <c r="N857" s="20"/>
      <c r="O857" s="20"/>
      <c r="P857" s="20"/>
      <c r="Q857" s="20"/>
      <c r="R857" s="20"/>
      <c r="S857" s="20"/>
      <c r="T857" s="20"/>
      <c r="U857" s="20"/>
      <c r="V857" s="20"/>
      <c r="W857" s="20"/>
    </row>
    <row r="858" customFormat="false" ht="15.75" hidden="false" customHeight="false" outlineLevel="0" collapsed="false">
      <c r="D858" s="20"/>
      <c r="E858" s="20"/>
      <c r="I858" s="20"/>
      <c r="J858" s="20"/>
      <c r="K858" s="20"/>
      <c r="L858" s="20"/>
      <c r="M858" s="20"/>
      <c r="N858" s="20"/>
      <c r="O858" s="20"/>
      <c r="P858" s="20"/>
      <c r="Q858" s="20"/>
      <c r="R858" s="20"/>
      <c r="S858" s="20"/>
      <c r="T858" s="20"/>
      <c r="U858" s="20"/>
      <c r="V858" s="20"/>
      <c r="W858" s="20"/>
    </row>
    <row r="859" customFormat="false" ht="15.75" hidden="false" customHeight="false" outlineLevel="0" collapsed="false">
      <c r="D859" s="20"/>
      <c r="E859" s="20"/>
      <c r="I859" s="20"/>
      <c r="J859" s="20"/>
      <c r="K859" s="20"/>
      <c r="L859" s="20"/>
      <c r="M859" s="20"/>
      <c r="N859" s="20"/>
      <c r="O859" s="20"/>
      <c r="P859" s="20"/>
      <c r="Q859" s="20"/>
      <c r="R859" s="20"/>
      <c r="S859" s="20"/>
      <c r="T859" s="20"/>
      <c r="U859" s="20"/>
      <c r="V859" s="20"/>
      <c r="W859" s="20"/>
    </row>
    <row r="860" customFormat="false" ht="15.75" hidden="false" customHeight="false" outlineLevel="0" collapsed="false">
      <c r="D860" s="20"/>
      <c r="E860" s="20"/>
      <c r="I860" s="20"/>
      <c r="J860" s="20"/>
      <c r="K860" s="20"/>
      <c r="L860" s="20"/>
      <c r="M860" s="20"/>
      <c r="N860" s="20"/>
      <c r="O860" s="20"/>
      <c r="P860" s="20"/>
      <c r="Q860" s="20"/>
      <c r="R860" s="20"/>
      <c r="S860" s="20"/>
      <c r="T860" s="20"/>
      <c r="U860" s="20"/>
      <c r="V860" s="20"/>
      <c r="W860" s="20"/>
    </row>
    <row r="861" customFormat="false" ht="15.75" hidden="false" customHeight="false" outlineLevel="0" collapsed="false">
      <c r="D861" s="20"/>
      <c r="E861" s="20"/>
      <c r="I861" s="20"/>
      <c r="J861" s="20"/>
      <c r="K861" s="20"/>
      <c r="L861" s="20"/>
      <c r="M861" s="20"/>
      <c r="N861" s="20"/>
      <c r="O861" s="20"/>
      <c r="P861" s="20"/>
      <c r="Q861" s="20"/>
      <c r="R861" s="20"/>
      <c r="S861" s="20"/>
      <c r="T861" s="20"/>
      <c r="U861" s="20"/>
      <c r="V861" s="20"/>
      <c r="W861" s="20"/>
    </row>
    <row r="862" customFormat="false" ht="15.75" hidden="false" customHeight="false" outlineLevel="0" collapsed="false">
      <c r="D862" s="20"/>
      <c r="E862" s="20"/>
      <c r="I862" s="20"/>
      <c r="J862" s="20"/>
      <c r="K862" s="20"/>
      <c r="L862" s="20"/>
      <c r="M862" s="20"/>
      <c r="N862" s="20"/>
      <c r="O862" s="20"/>
      <c r="P862" s="20"/>
      <c r="Q862" s="20"/>
      <c r="R862" s="20"/>
      <c r="S862" s="20"/>
      <c r="T862" s="20"/>
      <c r="U862" s="20"/>
      <c r="V862" s="20"/>
      <c r="W862" s="20"/>
    </row>
    <row r="863" customFormat="false" ht="15.75" hidden="false" customHeight="false" outlineLevel="0" collapsed="false">
      <c r="D863" s="20"/>
      <c r="E863" s="20"/>
      <c r="I863" s="20"/>
      <c r="J863" s="20"/>
      <c r="K863" s="20"/>
      <c r="L863" s="20"/>
      <c r="M863" s="20"/>
      <c r="N863" s="20"/>
      <c r="O863" s="20"/>
      <c r="P863" s="20"/>
      <c r="Q863" s="20"/>
      <c r="R863" s="20"/>
      <c r="S863" s="20"/>
      <c r="T863" s="20"/>
      <c r="U863" s="20"/>
      <c r="V863" s="20"/>
      <c r="W863" s="20"/>
    </row>
    <row r="864" customFormat="false" ht="15.75" hidden="false" customHeight="false" outlineLevel="0" collapsed="false">
      <c r="D864" s="20"/>
      <c r="E864" s="20"/>
      <c r="I864" s="20"/>
      <c r="J864" s="20"/>
      <c r="K864" s="20"/>
      <c r="L864" s="20"/>
      <c r="M864" s="20"/>
      <c r="N864" s="20"/>
      <c r="O864" s="20"/>
      <c r="P864" s="20"/>
      <c r="Q864" s="20"/>
      <c r="R864" s="20"/>
      <c r="S864" s="20"/>
      <c r="T864" s="20"/>
      <c r="U864" s="20"/>
      <c r="V864" s="20"/>
      <c r="W864" s="20"/>
    </row>
    <row r="865" customFormat="false" ht="15.75" hidden="false" customHeight="false" outlineLevel="0" collapsed="false">
      <c r="D865" s="20"/>
      <c r="E865" s="20"/>
      <c r="I865" s="20"/>
      <c r="J865" s="20"/>
      <c r="K865" s="20"/>
      <c r="L865" s="20"/>
      <c r="M865" s="20"/>
      <c r="N865" s="20"/>
      <c r="O865" s="20"/>
      <c r="P865" s="20"/>
      <c r="Q865" s="20"/>
      <c r="R865" s="20"/>
      <c r="S865" s="20"/>
      <c r="T865" s="20"/>
      <c r="U865" s="20"/>
      <c r="V865" s="20"/>
      <c r="W865" s="20"/>
    </row>
    <row r="866" customFormat="false" ht="15.75" hidden="false" customHeight="false" outlineLevel="0" collapsed="false">
      <c r="D866" s="20"/>
      <c r="E866" s="20"/>
      <c r="I866" s="20"/>
      <c r="J866" s="20"/>
      <c r="K866" s="20"/>
      <c r="L866" s="20"/>
      <c r="M866" s="20"/>
      <c r="N866" s="20"/>
      <c r="O866" s="20"/>
      <c r="P866" s="20"/>
      <c r="Q866" s="20"/>
      <c r="R866" s="20"/>
      <c r="S866" s="20"/>
      <c r="T866" s="20"/>
      <c r="U866" s="20"/>
      <c r="V866" s="20"/>
      <c r="W866" s="20"/>
    </row>
    <row r="867" customFormat="false" ht="15.75" hidden="false" customHeight="false" outlineLevel="0" collapsed="false">
      <c r="D867" s="20"/>
      <c r="E867" s="20"/>
      <c r="I867" s="20"/>
      <c r="J867" s="20"/>
      <c r="K867" s="20"/>
      <c r="L867" s="20"/>
      <c r="M867" s="20"/>
      <c r="N867" s="20"/>
      <c r="O867" s="20"/>
      <c r="P867" s="20"/>
      <c r="Q867" s="20"/>
      <c r="R867" s="20"/>
      <c r="S867" s="20"/>
      <c r="T867" s="20"/>
      <c r="U867" s="20"/>
      <c r="V867" s="20"/>
      <c r="W867" s="20"/>
    </row>
    <row r="868" customFormat="false" ht="15.75" hidden="false" customHeight="false" outlineLevel="0" collapsed="false">
      <c r="D868" s="20"/>
      <c r="E868" s="20"/>
      <c r="I868" s="20"/>
      <c r="J868" s="20"/>
      <c r="K868" s="20"/>
      <c r="L868" s="20"/>
      <c r="M868" s="20"/>
      <c r="N868" s="20"/>
      <c r="O868" s="20"/>
      <c r="P868" s="20"/>
      <c r="Q868" s="20"/>
      <c r="R868" s="20"/>
      <c r="S868" s="20"/>
      <c r="T868" s="20"/>
      <c r="U868" s="20"/>
      <c r="V868" s="20"/>
      <c r="W868" s="20"/>
    </row>
    <row r="869" customFormat="false" ht="15.75" hidden="false" customHeight="false" outlineLevel="0" collapsed="false">
      <c r="D869" s="20"/>
      <c r="E869" s="20"/>
      <c r="I869" s="20"/>
      <c r="J869" s="20"/>
      <c r="K869" s="20"/>
      <c r="L869" s="20"/>
      <c r="M869" s="20"/>
      <c r="N869" s="20"/>
      <c r="O869" s="20"/>
      <c r="P869" s="20"/>
      <c r="Q869" s="20"/>
      <c r="R869" s="20"/>
      <c r="S869" s="20"/>
      <c r="T869" s="20"/>
      <c r="U869" s="20"/>
      <c r="V869" s="20"/>
      <c r="W869" s="20"/>
    </row>
    <row r="870" customFormat="false" ht="15.75" hidden="false" customHeight="false" outlineLevel="0" collapsed="false">
      <c r="D870" s="20"/>
      <c r="E870" s="20"/>
      <c r="I870" s="20"/>
      <c r="J870" s="20"/>
      <c r="K870" s="20"/>
      <c r="L870" s="20"/>
      <c r="M870" s="20"/>
      <c r="N870" s="20"/>
      <c r="O870" s="20"/>
      <c r="P870" s="20"/>
      <c r="Q870" s="20"/>
      <c r="R870" s="20"/>
      <c r="S870" s="20"/>
      <c r="T870" s="20"/>
      <c r="U870" s="20"/>
      <c r="V870" s="20"/>
      <c r="W870" s="20"/>
    </row>
    <row r="871" customFormat="false" ht="15.75" hidden="false" customHeight="false" outlineLevel="0" collapsed="false">
      <c r="D871" s="20"/>
      <c r="E871" s="20"/>
      <c r="I871" s="20"/>
      <c r="J871" s="20"/>
      <c r="K871" s="20"/>
      <c r="L871" s="20"/>
      <c r="M871" s="20"/>
      <c r="N871" s="20"/>
      <c r="O871" s="20"/>
      <c r="P871" s="20"/>
      <c r="Q871" s="20"/>
      <c r="R871" s="20"/>
      <c r="S871" s="20"/>
      <c r="T871" s="20"/>
      <c r="U871" s="20"/>
      <c r="V871" s="20"/>
      <c r="W871" s="20"/>
    </row>
    <row r="872" customFormat="false" ht="15.75" hidden="false" customHeight="false" outlineLevel="0" collapsed="false">
      <c r="D872" s="20"/>
      <c r="E872" s="20"/>
      <c r="I872" s="20"/>
      <c r="J872" s="20"/>
      <c r="K872" s="20"/>
      <c r="L872" s="20"/>
      <c r="M872" s="20"/>
      <c r="N872" s="20"/>
      <c r="O872" s="20"/>
      <c r="P872" s="20"/>
      <c r="Q872" s="20"/>
      <c r="R872" s="20"/>
      <c r="S872" s="20"/>
      <c r="T872" s="20"/>
      <c r="U872" s="20"/>
      <c r="V872" s="20"/>
      <c r="W872" s="20"/>
    </row>
    <row r="873" customFormat="false" ht="15.75" hidden="false" customHeight="false" outlineLevel="0" collapsed="false">
      <c r="D873" s="20"/>
      <c r="E873" s="20"/>
      <c r="I873" s="20"/>
      <c r="J873" s="20"/>
      <c r="K873" s="20"/>
      <c r="L873" s="20"/>
      <c r="M873" s="20"/>
      <c r="N873" s="20"/>
      <c r="O873" s="20"/>
      <c r="P873" s="20"/>
      <c r="Q873" s="20"/>
      <c r="R873" s="20"/>
      <c r="S873" s="20"/>
      <c r="T873" s="20"/>
      <c r="U873" s="20"/>
      <c r="V873" s="20"/>
      <c r="W873" s="20"/>
    </row>
    <row r="874" customFormat="false" ht="15.75" hidden="false" customHeight="false" outlineLevel="0" collapsed="false">
      <c r="D874" s="20"/>
      <c r="E874" s="20"/>
      <c r="I874" s="20"/>
      <c r="J874" s="20"/>
      <c r="K874" s="20"/>
      <c r="L874" s="20"/>
      <c r="M874" s="20"/>
      <c r="N874" s="20"/>
      <c r="O874" s="20"/>
      <c r="P874" s="20"/>
      <c r="Q874" s="20"/>
      <c r="R874" s="20"/>
      <c r="S874" s="20"/>
      <c r="T874" s="20"/>
      <c r="U874" s="20"/>
      <c r="V874" s="20"/>
      <c r="W874" s="20"/>
    </row>
    <row r="875" customFormat="false" ht="15.75" hidden="false" customHeight="false" outlineLevel="0" collapsed="false">
      <c r="D875" s="20"/>
      <c r="E875" s="20"/>
      <c r="I875" s="20"/>
      <c r="J875" s="20"/>
      <c r="K875" s="20"/>
      <c r="L875" s="20"/>
      <c r="M875" s="20"/>
      <c r="N875" s="20"/>
      <c r="O875" s="20"/>
      <c r="P875" s="20"/>
      <c r="Q875" s="20"/>
      <c r="R875" s="20"/>
      <c r="S875" s="20"/>
      <c r="T875" s="20"/>
      <c r="U875" s="20"/>
      <c r="V875" s="20"/>
      <c r="W875" s="20"/>
    </row>
    <row r="876" customFormat="false" ht="15.75" hidden="false" customHeight="false" outlineLevel="0" collapsed="false">
      <c r="D876" s="20"/>
      <c r="E876" s="20"/>
      <c r="I876" s="20"/>
      <c r="J876" s="20"/>
      <c r="K876" s="20"/>
      <c r="L876" s="20"/>
      <c r="M876" s="20"/>
      <c r="N876" s="20"/>
      <c r="O876" s="20"/>
      <c r="P876" s="20"/>
      <c r="Q876" s="20"/>
      <c r="R876" s="20"/>
      <c r="S876" s="20"/>
      <c r="T876" s="20"/>
      <c r="U876" s="20"/>
      <c r="V876" s="20"/>
      <c r="W876" s="20"/>
    </row>
    <row r="877" customFormat="false" ht="15.75" hidden="false" customHeight="false" outlineLevel="0" collapsed="false">
      <c r="D877" s="20"/>
      <c r="E877" s="20"/>
      <c r="I877" s="20"/>
      <c r="J877" s="20"/>
      <c r="K877" s="20"/>
      <c r="L877" s="20"/>
      <c r="M877" s="20"/>
      <c r="N877" s="20"/>
      <c r="O877" s="20"/>
      <c r="P877" s="20"/>
      <c r="Q877" s="20"/>
      <c r="R877" s="20"/>
      <c r="S877" s="20"/>
      <c r="T877" s="20"/>
      <c r="U877" s="20"/>
      <c r="V877" s="20"/>
      <c r="W877" s="20"/>
    </row>
    <row r="878" customFormat="false" ht="15.75" hidden="false" customHeight="false" outlineLevel="0" collapsed="false">
      <c r="D878" s="20"/>
      <c r="E878" s="20"/>
      <c r="I878" s="20"/>
      <c r="J878" s="20"/>
      <c r="K878" s="20"/>
      <c r="L878" s="20"/>
      <c r="M878" s="20"/>
      <c r="N878" s="20"/>
      <c r="O878" s="20"/>
      <c r="P878" s="20"/>
      <c r="Q878" s="20"/>
      <c r="R878" s="20"/>
      <c r="S878" s="20"/>
      <c r="T878" s="20"/>
      <c r="U878" s="20"/>
      <c r="V878" s="20"/>
      <c r="W878" s="20"/>
    </row>
    <row r="879" customFormat="false" ht="15.75" hidden="false" customHeight="false" outlineLevel="0" collapsed="false">
      <c r="D879" s="20"/>
      <c r="E879" s="20"/>
      <c r="I879" s="20"/>
      <c r="J879" s="20"/>
      <c r="K879" s="20"/>
      <c r="L879" s="20"/>
      <c r="M879" s="20"/>
      <c r="N879" s="20"/>
      <c r="O879" s="20"/>
      <c r="P879" s="20"/>
      <c r="Q879" s="20"/>
      <c r="R879" s="20"/>
      <c r="S879" s="20"/>
      <c r="T879" s="20"/>
      <c r="U879" s="20"/>
      <c r="V879" s="20"/>
      <c r="W879" s="20"/>
    </row>
    <row r="880" customFormat="false" ht="15.75" hidden="false" customHeight="false" outlineLevel="0" collapsed="false">
      <c r="D880" s="20"/>
      <c r="E880" s="20"/>
      <c r="I880" s="20"/>
      <c r="J880" s="20"/>
      <c r="K880" s="20"/>
      <c r="L880" s="20"/>
      <c r="M880" s="20"/>
      <c r="N880" s="20"/>
      <c r="O880" s="20"/>
      <c r="P880" s="20"/>
      <c r="Q880" s="20"/>
      <c r="R880" s="20"/>
      <c r="S880" s="20"/>
      <c r="T880" s="20"/>
      <c r="U880" s="20"/>
      <c r="V880" s="20"/>
      <c r="W880" s="20"/>
    </row>
    <row r="881" customFormat="false" ht="15.75" hidden="false" customHeight="false" outlineLevel="0" collapsed="false">
      <c r="D881" s="20"/>
      <c r="E881" s="20"/>
      <c r="I881" s="20"/>
      <c r="J881" s="20"/>
      <c r="K881" s="20"/>
      <c r="L881" s="20"/>
      <c r="M881" s="20"/>
      <c r="N881" s="20"/>
      <c r="O881" s="20"/>
      <c r="P881" s="20"/>
      <c r="Q881" s="20"/>
      <c r="R881" s="20"/>
      <c r="S881" s="20"/>
      <c r="T881" s="20"/>
      <c r="U881" s="20"/>
      <c r="V881" s="20"/>
      <c r="W881" s="20"/>
    </row>
    <row r="882" customFormat="false" ht="15.75" hidden="false" customHeight="false" outlineLevel="0" collapsed="false">
      <c r="D882" s="20"/>
      <c r="E882" s="20"/>
      <c r="I882" s="20"/>
      <c r="J882" s="20"/>
      <c r="K882" s="20"/>
      <c r="L882" s="20"/>
      <c r="M882" s="20"/>
      <c r="N882" s="20"/>
      <c r="O882" s="20"/>
      <c r="P882" s="20"/>
      <c r="Q882" s="20"/>
      <c r="R882" s="20"/>
      <c r="S882" s="20"/>
      <c r="T882" s="20"/>
      <c r="U882" s="20"/>
      <c r="V882" s="20"/>
      <c r="W882" s="20"/>
    </row>
    <row r="883" customFormat="false" ht="15.75" hidden="false" customHeight="false" outlineLevel="0" collapsed="false">
      <c r="D883" s="20"/>
      <c r="E883" s="20"/>
      <c r="I883" s="20"/>
      <c r="J883" s="20"/>
      <c r="K883" s="20"/>
      <c r="L883" s="20"/>
      <c r="M883" s="20"/>
      <c r="N883" s="20"/>
      <c r="O883" s="20"/>
      <c r="P883" s="20"/>
      <c r="Q883" s="20"/>
      <c r="R883" s="20"/>
      <c r="S883" s="20"/>
      <c r="T883" s="20"/>
      <c r="U883" s="20"/>
      <c r="V883" s="20"/>
      <c r="W883" s="20"/>
    </row>
    <row r="884" customFormat="false" ht="15.75" hidden="false" customHeight="false" outlineLevel="0" collapsed="false">
      <c r="D884" s="20"/>
      <c r="E884" s="20"/>
      <c r="I884" s="20"/>
      <c r="J884" s="20"/>
      <c r="K884" s="20"/>
      <c r="L884" s="20"/>
      <c r="M884" s="20"/>
      <c r="N884" s="20"/>
      <c r="O884" s="20"/>
      <c r="P884" s="20"/>
      <c r="Q884" s="20"/>
      <c r="R884" s="20"/>
      <c r="S884" s="20"/>
      <c r="T884" s="20"/>
      <c r="U884" s="20"/>
      <c r="V884" s="20"/>
      <c r="W884" s="20"/>
    </row>
    <row r="885" customFormat="false" ht="15.75" hidden="false" customHeight="false" outlineLevel="0" collapsed="false">
      <c r="D885" s="20"/>
      <c r="E885" s="20"/>
      <c r="I885" s="20"/>
      <c r="J885" s="20"/>
      <c r="K885" s="20"/>
      <c r="L885" s="20"/>
      <c r="M885" s="20"/>
      <c r="N885" s="20"/>
      <c r="O885" s="20"/>
      <c r="P885" s="20"/>
      <c r="Q885" s="20"/>
      <c r="R885" s="20"/>
      <c r="S885" s="20"/>
      <c r="T885" s="20"/>
      <c r="U885" s="20"/>
      <c r="V885" s="20"/>
      <c r="W885" s="20"/>
    </row>
    <row r="886" customFormat="false" ht="15.75" hidden="false" customHeight="false" outlineLevel="0" collapsed="false">
      <c r="D886" s="20"/>
      <c r="E886" s="20"/>
      <c r="I886" s="20"/>
      <c r="J886" s="20"/>
      <c r="K886" s="20"/>
      <c r="L886" s="20"/>
      <c r="M886" s="20"/>
      <c r="N886" s="20"/>
      <c r="O886" s="20"/>
      <c r="P886" s="20"/>
      <c r="Q886" s="20"/>
      <c r="R886" s="20"/>
      <c r="S886" s="20"/>
      <c r="T886" s="20"/>
      <c r="U886" s="20"/>
      <c r="V886" s="20"/>
      <c r="W886" s="20"/>
    </row>
    <row r="887" customFormat="false" ht="15.75" hidden="false" customHeight="false" outlineLevel="0" collapsed="false">
      <c r="D887" s="20"/>
      <c r="E887" s="20"/>
      <c r="I887" s="20"/>
      <c r="J887" s="20"/>
      <c r="K887" s="20"/>
      <c r="L887" s="20"/>
      <c r="M887" s="20"/>
      <c r="N887" s="20"/>
      <c r="O887" s="20"/>
      <c r="P887" s="20"/>
      <c r="Q887" s="20"/>
      <c r="R887" s="20"/>
      <c r="S887" s="20"/>
      <c r="T887" s="20"/>
      <c r="U887" s="20"/>
      <c r="V887" s="20"/>
      <c r="W887" s="20"/>
    </row>
    <row r="888" customFormat="false" ht="15.75" hidden="false" customHeight="false" outlineLevel="0" collapsed="false">
      <c r="D888" s="20"/>
      <c r="E888" s="20"/>
      <c r="I888" s="20"/>
      <c r="J888" s="20"/>
      <c r="K888" s="20"/>
      <c r="L888" s="20"/>
      <c r="M888" s="20"/>
      <c r="N888" s="20"/>
      <c r="O888" s="20"/>
      <c r="P888" s="20"/>
      <c r="Q888" s="20"/>
      <c r="R888" s="20"/>
      <c r="S888" s="20"/>
      <c r="T888" s="20"/>
      <c r="U888" s="20"/>
      <c r="V888" s="20"/>
      <c r="W888" s="20"/>
    </row>
    <row r="889" customFormat="false" ht="15.75" hidden="false" customHeight="false" outlineLevel="0" collapsed="false">
      <c r="D889" s="20"/>
      <c r="E889" s="20"/>
      <c r="I889" s="20"/>
      <c r="J889" s="20"/>
      <c r="K889" s="20"/>
      <c r="L889" s="20"/>
      <c r="M889" s="20"/>
      <c r="N889" s="20"/>
      <c r="O889" s="20"/>
      <c r="P889" s="20"/>
      <c r="Q889" s="20"/>
      <c r="R889" s="20"/>
      <c r="S889" s="20"/>
      <c r="T889" s="20"/>
      <c r="U889" s="20"/>
      <c r="V889" s="20"/>
      <c r="W889" s="20"/>
    </row>
    <row r="890" customFormat="false" ht="15.75" hidden="false" customHeight="false" outlineLevel="0" collapsed="false">
      <c r="D890" s="20"/>
      <c r="E890" s="20"/>
      <c r="I890" s="20"/>
      <c r="J890" s="20"/>
      <c r="K890" s="20"/>
      <c r="L890" s="20"/>
      <c r="M890" s="20"/>
      <c r="N890" s="20"/>
      <c r="O890" s="20"/>
      <c r="P890" s="20"/>
      <c r="Q890" s="20"/>
      <c r="R890" s="20"/>
      <c r="S890" s="20"/>
      <c r="T890" s="20"/>
      <c r="U890" s="20"/>
      <c r="V890" s="20"/>
      <c r="W890" s="20"/>
    </row>
    <row r="891" customFormat="false" ht="15.75" hidden="false" customHeight="false" outlineLevel="0" collapsed="false">
      <c r="D891" s="20"/>
      <c r="E891" s="20"/>
      <c r="I891" s="20"/>
      <c r="J891" s="20"/>
      <c r="K891" s="20"/>
      <c r="L891" s="20"/>
      <c r="M891" s="20"/>
      <c r="N891" s="20"/>
      <c r="O891" s="20"/>
      <c r="P891" s="20"/>
      <c r="Q891" s="20"/>
      <c r="R891" s="20"/>
      <c r="S891" s="20"/>
      <c r="T891" s="20"/>
      <c r="U891" s="20"/>
      <c r="V891" s="20"/>
      <c r="W891" s="20"/>
    </row>
    <row r="892" customFormat="false" ht="15.75" hidden="false" customHeight="false" outlineLevel="0" collapsed="false">
      <c r="D892" s="20"/>
      <c r="E892" s="20"/>
      <c r="I892" s="20"/>
      <c r="J892" s="20"/>
      <c r="K892" s="20"/>
      <c r="L892" s="20"/>
      <c r="M892" s="20"/>
      <c r="N892" s="20"/>
      <c r="O892" s="20"/>
      <c r="P892" s="20"/>
      <c r="Q892" s="20"/>
      <c r="R892" s="20"/>
      <c r="S892" s="20"/>
      <c r="T892" s="20"/>
      <c r="U892" s="20"/>
      <c r="V892" s="20"/>
      <c r="W892" s="20"/>
    </row>
    <row r="893" customFormat="false" ht="15.75" hidden="false" customHeight="false" outlineLevel="0" collapsed="false">
      <c r="D893" s="20"/>
      <c r="E893" s="20"/>
      <c r="I893" s="20"/>
      <c r="J893" s="20"/>
      <c r="K893" s="20"/>
      <c r="L893" s="20"/>
      <c r="M893" s="20"/>
      <c r="N893" s="20"/>
      <c r="O893" s="20"/>
      <c r="P893" s="20"/>
      <c r="Q893" s="20"/>
      <c r="R893" s="20"/>
      <c r="S893" s="20"/>
      <c r="T893" s="20"/>
      <c r="U893" s="20"/>
      <c r="V893" s="20"/>
      <c r="W893" s="20"/>
    </row>
    <row r="894" customFormat="false" ht="15.75" hidden="false" customHeight="false" outlineLevel="0" collapsed="false">
      <c r="D894" s="20"/>
      <c r="E894" s="20"/>
      <c r="I894" s="20"/>
      <c r="J894" s="20"/>
      <c r="K894" s="20"/>
      <c r="L894" s="20"/>
      <c r="M894" s="20"/>
      <c r="N894" s="20"/>
      <c r="O894" s="20"/>
      <c r="P894" s="20"/>
      <c r="Q894" s="20"/>
      <c r="R894" s="20"/>
      <c r="S894" s="20"/>
      <c r="T894" s="20"/>
      <c r="U894" s="20"/>
      <c r="V894" s="20"/>
      <c r="W894" s="20"/>
    </row>
    <row r="895" customFormat="false" ht="15.75" hidden="false" customHeight="false" outlineLevel="0" collapsed="false">
      <c r="D895" s="20"/>
      <c r="E895" s="20"/>
      <c r="I895" s="20"/>
      <c r="J895" s="20"/>
      <c r="K895" s="20"/>
      <c r="L895" s="20"/>
      <c r="M895" s="20"/>
      <c r="N895" s="20"/>
      <c r="O895" s="20"/>
      <c r="P895" s="20"/>
      <c r="Q895" s="20"/>
      <c r="R895" s="20"/>
      <c r="S895" s="20"/>
      <c r="T895" s="20"/>
      <c r="U895" s="20"/>
      <c r="V895" s="20"/>
      <c r="W895" s="20"/>
    </row>
    <row r="896" customFormat="false" ht="15.75" hidden="false" customHeight="false" outlineLevel="0" collapsed="false">
      <c r="D896" s="20"/>
      <c r="E896" s="20"/>
      <c r="I896" s="20"/>
      <c r="J896" s="20"/>
      <c r="K896" s="20"/>
      <c r="L896" s="20"/>
      <c r="M896" s="20"/>
      <c r="N896" s="20"/>
      <c r="O896" s="20"/>
      <c r="P896" s="20"/>
      <c r="Q896" s="20"/>
      <c r="R896" s="20"/>
      <c r="S896" s="20"/>
      <c r="T896" s="20"/>
      <c r="U896" s="20"/>
      <c r="V896" s="20"/>
      <c r="W896" s="20"/>
    </row>
    <row r="897" customFormat="false" ht="15.75" hidden="false" customHeight="false" outlineLevel="0" collapsed="false">
      <c r="D897" s="20"/>
      <c r="E897" s="20"/>
      <c r="I897" s="20"/>
      <c r="J897" s="20"/>
      <c r="K897" s="20"/>
      <c r="L897" s="20"/>
      <c r="M897" s="20"/>
      <c r="N897" s="20"/>
      <c r="O897" s="20"/>
      <c r="P897" s="20"/>
      <c r="Q897" s="20"/>
      <c r="R897" s="20"/>
      <c r="S897" s="20"/>
      <c r="T897" s="20"/>
      <c r="U897" s="20"/>
      <c r="V897" s="20"/>
      <c r="W897" s="20"/>
    </row>
    <row r="898" customFormat="false" ht="15.75" hidden="false" customHeight="false" outlineLevel="0" collapsed="false">
      <c r="D898" s="20"/>
      <c r="E898" s="20"/>
      <c r="I898" s="20"/>
      <c r="J898" s="20"/>
      <c r="K898" s="20"/>
      <c r="L898" s="20"/>
      <c r="M898" s="20"/>
      <c r="N898" s="20"/>
      <c r="O898" s="20"/>
      <c r="P898" s="20"/>
      <c r="Q898" s="20"/>
      <c r="R898" s="20"/>
      <c r="S898" s="20"/>
      <c r="T898" s="20"/>
      <c r="U898" s="20"/>
      <c r="V898" s="20"/>
      <c r="W898" s="20"/>
    </row>
    <row r="899" customFormat="false" ht="15.75" hidden="false" customHeight="false" outlineLevel="0" collapsed="false">
      <c r="D899" s="20"/>
      <c r="E899" s="20"/>
      <c r="I899" s="20"/>
      <c r="J899" s="20"/>
      <c r="K899" s="20"/>
      <c r="L899" s="20"/>
      <c r="M899" s="20"/>
      <c r="N899" s="20"/>
      <c r="O899" s="20"/>
      <c r="P899" s="20"/>
      <c r="Q899" s="20"/>
      <c r="R899" s="20"/>
      <c r="S899" s="20"/>
      <c r="T899" s="20"/>
      <c r="U899" s="20"/>
      <c r="V899" s="20"/>
      <c r="W899" s="20"/>
    </row>
    <row r="900" customFormat="false" ht="15.75" hidden="false" customHeight="false" outlineLevel="0" collapsed="false">
      <c r="D900" s="20"/>
      <c r="E900" s="20"/>
      <c r="I900" s="20"/>
      <c r="J900" s="20"/>
      <c r="K900" s="20"/>
      <c r="L900" s="20"/>
      <c r="M900" s="20"/>
      <c r="N900" s="20"/>
      <c r="O900" s="20"/>
      <c r="P900" s="20"/>
      <c r="Q900" s="20"/>
      <c r="R900" s="20"/>
      <c r="S900" s="20"/>
      <c r="T900" s="20"/>
      <c r="U900" s="20"/>
      <c r="V900" s="20"/>
      <c r="W900" s="20"/>
    </row>
    <row r="901" customFormat="false" ht="15.75" hidden="false" customHeight="false" outlineLevel="0" collapsed="false">
      <c r="D901" s="20"/>
      <c r="E901" s="20"/>
      <c r="I901" s="20"/>
      <c r="J901" s="20"/>
      <c r="K901" s="20"/>
      <c r="L901" s="20"/>
      <c r="M901" s="20"/>
      <c r="N901" s="20"/>
      <c r="O901" s="20"/>
      <c r="P901" s="20"/>
      <c r="Q901" s="20"/>
      <c r="R901" s="20"/>
      <c r="S901" s="20"/>
      <c r="T901" s="20"/>
      <c r="U901" s="20"/>
      <c r="V901" s="20"/>
      <c r="W901" s="20"/>
    </row>
    <row r="902" customFormat="false" ht="15.75" hidden="false" customHeight="false" outlineLevel="0" collapsed="false">
      <c r="D902" s="20"/>
      <c r="E902" s="20"/>
      <c r="I902" s="20"/>
      <c r="J902" s="20"/>
      <c r="K902" s="20"/>
      <c r="L902" s="20"/>
      <c r="M902" s="20"/>
      <c r="N902" s="20"/>
      <c r="O902" s="20"/>
      <c r="P902" s="20"/>
      <c r="Q902" s="20"/>
      <c r="R902" s="20"/>
      <c r="S902" s="20"/>
      <c r="T902" s="20"/>
      <c r="U902" s="20"/>
      <c r="V902" s="20"/>
      <c r="W902" s="20"/>
    </row>
    <row r="903" customFormat="false" ht="15.75" hidden="false" customHeight="false" outlineLevel="0" collapsed="false">
      <c r="D903" s="20"/>
      <c r="E903" s="20"/>
      <c r="I903" s="20"/>
      <c r="J903" s="20"/>
      <c r="K903" s="20"/>
      <c r="L903" s="20"/>
      <c r="M903" s="20"/>
      <c r="N903" s="20"/>
      <c r="O903" s="20"/>
      <c r="P903" s="20"/>
      <c r="Q903" s="20"/>
      <c r="R903" s="20"/>
      <c r="S903" s="20"/>
      <c r="T903" s="20"/>
      <c r="U903" s="20"/>
      <c r="V903" s="20"/>
      <c r="W903" s="20"/>
    </row>
    <row r="904" customFormat="false" ht="15.75" hidden="false" customHeight="false" outlineLevel="0" collapsed="false">
      <c r="D904" s="20"/>
      <c r="E904" s="20"/>
      <c r="I904" s="20"/>
      <c r="J904" s="20"/>
      <c r="K904" s="20"/>
      <c r="L904" s="20"/>
      <c r="M904" s="20"/>
      <c r="N904" s="20"/>
      <c r="O904" s="20"/>
      <c r="P904" s="20"/>
      <c r="Q904" s="20"/>
      <c r="R904" s="20"/>
      <c r="S904" s="20"/>
      <c r="T904" s="20"/>
      <c r="U904" s="20"/>
      <c r="V904" s="20"/>
      <c r="W904" s="20"/>
    </row>
    <row r="905" customFormat="false" ht="15.75" hidden="false" customHeight="false" outlineLevel="0" collapsed="false">
      <c r="D905" s="20"/>
      <c r="E905" s="20"/>
      <c r="I905" s="20"/>
      <c r="J905" s="20"/>
      <c r="K905" s="20"/>
      <c r="L905" s="20"/>
      <c r="M905" s="20"/>
      <c r="N905" s="20"/>
      <c r="O905" s="20"/>
      <c r="P905" s="20"/>
      <c r="Q905" s="20"/>
      <c r="R905" s="20"/>
      <c r="S905" s="20"/>
      <c r="T905" s="20"/>
      <c r="U905" s="20"/>
      <c r="V905" s="20"/>
      <c r="W905" s="20"/>
    </row>
    <row r="906" customFormat="false" ht="15.75" hidden="false" customHeight="false" outlineLevel="0" collapsed="false">
      <c r="D906" s="20"/>
      <c r="E906" s="20"/>
      <c r="I906" s="20"/>
      <c r="J906" s="20"/>
      <c r="K906" s="20"/>
      <c r="L906" s="20"/>
      <c r="M906" s="20"/>
      <c r="N906" s="20"/>
      <c r="O906" s="20"/>
      <c r="P906" s="20"/>
      <c r="Q906" s="20"/>
      <c r="R906" s="20"/>
      <c r="S906" s="20"/>
      <c r="T906" s="20"/>
      <c r="U906" s="20"/>
      <c r="V906" s="20"/>
      <c r="W906" s="20"/>
    </row>
    <row r="907" customFormat="false" ht="15.75" hidden="false" customHeight="false" outlineLevel="0" collapsed="false">
      <c r="D907" s="20"/>
      <c r="E907" s="20"/>
      <c r="I907" s="20"/>
      <c r="J907" s="20"/>
      <c r="K907" s="20"/>
      <c r="L907" s="20"/>
      <c r="M907" s="20"/>
      <c r="N907" s="20"/>
      <c r="O907" s="20"/>
      <c r="P907" s="20"/>
      <c r="Q907" s="20"/>
      <c r="R907" s="20"/>
      <c r="S907" s="20"/>
      <c r="T907" s="20"/>
      <c r="U907" s="20"/>
      <c r="V907" s="20"/>
      <c r="W907" s="20"/>
    </row>
    <row r="908" customFormat="false" ht="15.75" hidden="false" customHeight="false" outlineLevel="0" collapsed="false">
      <c r="D908" s="20"/>
      <c r="E908" s="20"/>
      <c r="I908" s="20"/>
      <c r="J908" s="20"/>
      <c r="K908" s="20"/>
      <c r="L908" s="20"/>
      <c r="M908" s="20"/>
      <c r="N908" s="20"/>
      <c r="O908" s="20"/>
      <c r="P908" s="20"/>
      <c r="Q908" s="20"/>
      <c r="R908" s="20"/>
      <c r="S908" s="20"/>
      <c r="T908" s="20"/>
      <c r="U908" s="20"/>
      <c r="V908" s="20"/>
      <c r="W908" s="20"/>
    </row>
    <row r="909" customFormat="false" ht="15.75" hidden="false" customHeight="false" outlineLevel="0" collapsed="false">
      <c r="D909" s="20"/>
      <c r="E909" s="20"/>
      <c r="I909" s="20"/>
      <c r="J909" s="20"/>
      <c r="K909" s="20"/>
      <c r="L909" s="20"/>
      <c r="M909" s="20"/>
      <c r="N909" s="20"/>
      <c r="O909" s="20"/>
      <c r="P909" s="20"/>
      <c r="Q909" s="20"/>
      <c r="R909" s="20"/>
      <c r="S909" s="20"/>
      <c r="T909" s="20"/>
      <c r="U909" s="20"/>
      <c r="V909" s="20"/>
      <c r="W909" s="20"/>
    </row>
    <row r="910" customFormat="false" ht="15.75" hidden="false" customHeight="false" outlineLevel="0" collapsed="false">
      <c r="D910" s="20"/>
      <c r="E910" s="20"/>
      <c r="I910" s="20"/>
      <c r="J910" s="20"/>
      <c r="K910" s="20"/>
      <c r="L910" s="20"/>
      <c r="M910" s="20"/>
      <c r="N910" s="20"/>
      <c r="O910" s="20"/>
      <c r="P910" s="20"/>
      <c r="Q910" s="20"/>
      <c r="R910" s="20"/>
      <c r="S910" s="20"/>
      <c r="T910" s="20"/>
      <c r="U910" s="20"/>
      <c r="V910" s="20"/>
      <c r="W910" s="20"/>
    </row>
    <row r="911" customFormat="false" ht="15.75" hidden="false" customHeight="false" outlineLevel="0" collapsed="false">
      <c r="D911" s="20"/>
      <c r="E911" s="20"/>
      <c r="I911" s="20"/>
      <c r="J911" s="20"/>
      <c r="K911" s="20"/>
      <c r="L911" s="20"/>
      <c r="M911" s="20"/>
      <c r="N911" s="20"/>
      <c r="O911" s="20"/>
      <c r="P911" s="20"/>
      <c r="Q911" s="20"/>
      <c r="R911" s="20"/>
      <c r="S911" s="20"/>
      <c r="T911" s="20"/>
      <c r="U911" s="20"/>
      <c r="V911" s="20"/>
      <c r="W911" s="20"/>
    </row>
    <row r="912" customFormat="false" ht="15.75" hidden="false" customHeight="false" outlineLevel="0" collapsed="false">
      <c r="D912" s="20"/>
      <c r="E912" s="20"/>
      <c r="I912" s="20"/>
      <c r="J912" s="20"/>
      <c r="K912" s="20"/>
      <c r="L912" s="20"/>
      <c r="M912" s="20"/>
      <c r="N912" s="20"/>
      <c r="O912" s="20"/>
      <c r="P912" s="20"/>
      <c r="Q912" s="20"/>
      <c r="R912" s="20"/>
      <c r="S912" s="20"/>
      <c r="T912" s="20"/>
      <c r="U912" s="20"/>
      <c r="V912" s="20"/>
      <c r="W912" s="20"/>
    </row>
    <row r="913" customFormat="false" ht="15.75" hidden="false" customHeight="false" outlineLevel="0" collapsed="false">
      <c r="D913" s="20"/>
      <c r="E913" s="20"/>
      <c r="I913" s="20"/>
      <c r="J913" s="20"/>
      <c r="K913" s="20"/>
      <c r="L913" s="20"/>
      <c r="M913" s="20"/>
      <c r="N913" s="20"/>
      <c r="O913" s="20"/>
      <c r="P913" s="20"/>
      <c r="Q913" s="20"/>
      <c r="R913" s="20"/>
      <c r="S913" s="20"/>
      <c r="T913" s="20"/>
      <c r="U913" s="20"/>
      <c r="V913" s="20"/>
      <c r="W913" s="20"/>
    </row>
    <row r="914" customFormat="false" ht="15.75" hidden="false" customHeight="false" outlineLevel="0" collapsed="false">
      <c r="D914" s="20"/>
      <c r="E914" s="20"/>
      <c r="I914" s="20"/>
      <c r="J914" s="20"/>
      <c r="K914" s="20"/>
      <c r="L914" s="20"/>
      <c r="M914" s="20"/>
      <c r="N914" s="20"/>
      <c r="O914" s="20"/>
      <c r="P914" s="20"/>
      <c r="Q914" s="20"/>
      <c r="R914" s="20"/>
      <c r="S914" s="20"/>
      <c r="T914" s="20"/>
      <c r="U914" s="20"/>
      <c r="V914" s="20"/>
      <c r="W914" s="20"/>
    </row>
    <row r="915" customFormat="false" ht="15.75" hidden="false" customHeight="false" outlineLevel="0" collapsed="false">
      <c r="D915" s="20"/>
      <c r="E915" s="20"/>
      <c r="I915" s="20"/>
      <c r="J915" s="20"/>
      <c r="K915" s="20"/>
      <c r="L915" s="20"/>
      <c r="M915" s="20"/>
      <c r="N915" s="20"/>
      <c r="O915" s="20"/>
      <c r="P915" s="20"/>
      <c r="Q915" s="20"/>
      <c r="R915" s="20"/>
      <c r="S915" s="20"/>
      <c r="T915" s="20"/>
      <c r="U915" s="20"/>
      <c r="V915" s="20"/>
      <c r="W915" s="20"/>
    </row>
    <row r="916" customFormat="false" ht="15.75" hidden="false" customHeight="false" outlineLevel="0" collapsed="false">
      <c r="D916" s="20"/>
      <c r="E916" s="20"/>
      <c r="I916" s="20"/>
      <c r="J916" s="20"/>
      <c r="K916" s="20"/>
      <c r="L916" s="20"/>
      <c r="M916" s="20"/>
      <c r="N916" s="20"/>
      <c r="O916" s="20"/>
      <c r="P916" s="20"/>
      <c r="Q916" s="20"/>
      <c r="R916" s="20"/>
      <c r="S916" s="20"/>
      <c r="T916" s="20"/>
      <c r="U916" s="20"/>
      <c r="V916" s="20"/>
      <c r="W916" s="20"/>
    </row>
    <row r="917" customFormat="false" ht="15.75" hidden="false" customHeight="false" outlineLevel="0" collapsed="false">
      <c r="D917" s="20"/>
      <c r="E917" s="20"/>
      <c r="I917" s="20"/>
      <c r="J917" s="20"/>
      <c r="K917" s="20"/>
      <c r="L917" s="20"/>
      <c r="M917" s="20"/>
      <c r="N917" s="20"/>
      <c r="O917" s="20"/>
      <c r="P917" s="20"/>
      <c r="Q917" s="20"/>
      <c r="R917" s="20"/>
      <c r="S917" s="20"/>
      <c r="T917" s="20"/>
      <c r="U917" s="20"/>
      <c r="V917" s="20"/>
      <c r="W917" s="20"/>
    </row>
    <row r="918" customFormat="false" ht="15.75" hidden="false" customHeight="false" outlineLevel="0" collapsed="false">
      <c r="D918" s="20"/>
      <c r="E918" s="20"/>
      <c r="I918" s="20"/>
      <c r="J918" s="20"/>
      <c r="K918" s="20"/>
      <c r="L918" s="20"/>
      <c r="M918" s="20"/>
      <c r="N918" s="20"/>
      <c r="O918" s="20"/>
      <c r="P918" s="20"/>
      <c r="Q918" s="20"/>
      <c r="R918" s="20"/>
      <c r="S918" s="20"/>
      <c r="T918" s="20"/>
      <c r="U918" s="20"/>
      <c r="V918" s="20"/>
      <c r="W918" s="20"/>
    </row>
    <row r="919" customFormat="false" ht="15.75" hidden="false" customHeight="false" outlineLevel="0" collapsed="false">
      <c r="D919" s="20"/>
      <c r="E919" s="20"/>
      <c r="I919" s="20"/>
      <c r="J919" s="20"/>
      <c r="K919" s="20"/>
      <c r="L919" s="20"/>
      <c r="M919" s="20"/>
      <c r="N919" s="20"/>
      <c r="O919" s="20"/>
      <c r="P919" s="20"/>
      <c r="Q919" s="20"/>
      <c r="R919" s="20"/>
      <c r="S919" s="20"/>
      <c r="T919" s="20"/>
      <c r="U919" s="20"/>
      <c r="V919" s="20"/>
      <c r="W919" s="20"/>
    </row>
    <row r="920" customFormat="false" ht="15.75" hidden="false" customHeight="false" outlineLevel="0" collapsed="false">
      <c r="D920" s="20"/>
      <c r="E920" s="20"/>
      <c r="I920" s="20"/>
      <c r="J920" s="20"/>
      <c r="K920" s="20"/>
      <c r="L920" s="20"/>
      <c r="M920" s="20"/>
      <c r="N920" s="20"/>
      <c r="O920" s="20"/>
      <c r="P920" s="20"/>
      <c r="Q920" s="20"/>
      <c r="R920" s="20"/>
      <c r="S920" s="20"/>
      <c r="T920" s="20"/>
      <c r="U920" s="20"/>
      <c r="V920" s="20"/>
      <c r="W920" s="20"/>
    </row>
    <row r="921" customFormat="false" ht="15.75" hidden="false" customHeight="false" outlineLevel="0" collapsed="false">
      <c r="D921" s="20"/>
      <c r="E921" s="20"/>
      <c r="I921" s="20"/>
      <c r="J921" s="20"/>
      <c r="K921" s="20"/>
      <c r="L921" s="20"/>
      <c r="M921" s="20"/>
      <c r="N921" s="20"/>
      <c r="O921" s="20"/>
      <c r="P921" s="20"/>
      <c r="Q921" s="20"/>
      <c r="R921" s="20"/>
      <c r="S921" s="20"/>
      <c r="T921" s="20"/>
      <c r="U921" s="20"/>
      <c r="V921" s="20"/>
      <c r="W921" s="20"/>
    </row>
    <row r="922" customFormat="false" ht="15.75" hidden="false" customHeight="false" outlineLevel="0" collapsed="false">
      <c r="D922" s="20"/>
      <c r="E922" s="20"/>
      <c r="I922" s="20"/>
      <c r="J922" s="20"/>
      <c r="K922" s="20"/>
      <c r="L922" s="20"/>
      <c r="M922" s="20"/>
      <c r="N922" s="20"/>
      <c r="O922" s="20"/>
      <c r="P922" s="20"/>
      <c r="Q922" s="20"/>
      <c r="R922" s="20"/>
      <c r="S922" s="20"/>
      <c r="T922" s="20"/>
      <c r="U922" s="20"/>
      <c r="V922" s="20"/>
      <c r="W922" s="20"/>
    </row>
    <row r="923" customFormat="false" ht="15.75" hidden="false" customHeight="false" outlineLevel="0" collapsed="false">
      <c r="D923" s="20"/>
      <c r="E923" s="20"/>
      <c r="I923" s="20"/>
      <c r="J923" s="20"/>
      <c r="K923" s="20"/>
      <c r="L923" s="20"/>
      <c r="M923" s="20"/>
      <c r="N923" s="20"/>
      <c r="O923" s="20"/>
      <c r="P923" s="20"/>
      <c r="Q923" s="20"/>
      <c r="R923" s="20"/>
      <c r="S923" s="20"/>
      <c r="T923" s="20"/>
      <c r="U923" s="20"/>
      <c r="V923" s="20"/>
      <c r="W923" s="20"/>
    </row>
    <row r="924" customFormat="false" ht="15.75" hidden="false" customHeight="false" outlineLevel="0" collapsed="false">
      <c r="D924" s="20"/>
      <c r="E924" s="20"/>
      <c r="I924" s="20"/>
      <c r="J924" s="20"/>
      <c r="K924" s="20"/>
      <c r="L924" s="20"/>
      <c r="M924" s="20"/>
      <c r="N924" s="20"/>
      <c r="O924" s="20"/>
      <c r="P924" s="20"/>
      <c r="Q924" s="20"/>
      <c r="R924" s="20"/>
      <c r="S924" s="20"/>
      <c r="T924" s="20"/>
      <c r="U924" s="20"/>
      <c r="V924" s="20"/>
      <c r="W924" s="20"/>
    </row>
    <row r="925" customFormat="false" ht="15.75" hidden="false" customHeight="false" outlineLevel="0" collapsed="false">
      <c r="D925" s="20"/>
      <c r="E925" s="20"/>
      <c r="I925" s="20"/>
      <c r="J925" s="20"/>
      <c r="K925" s="20"/>
      <c r="L925" s="20"/>
      <c r="M925" s="20"/>
      <c r="N925" s="20"/>
      <c r="O925" s="20"/>
      <c r="P925" s="20"/>
      <c r="Q925" s="20"/>
      <c r="R925" s="20"/>
      <c r="S925" s="20"/>
      <c r="T925" s="20"/>
      <c r="U925" s="20"/>
      <c r="V925" s="20"/>
      <c r="W925" s="20"/>
    </row>
    <row r="926" customFormat="false" ht="15.75" hidden="false" customHeight="false" outlineLevel="0" collapsed="false">
      <c r="D926" s="20"/>
      <c r="E926" s="20"/>
      <c r="I926" s="20"/>
      <c r="J926" s="20"/>
      <c r="K926" s="20"/>
      <c r="L926" s="20"/>
      <c r="M926" s="20"/>
      <c r="N926" s="20"/>
      <c r="O926" s="20"/>
      <c r="P926" s="20"/>
      <c r="Q926" s="20"/>
      <c r="R926" s="20"/>
      <c r="S926" s="20"/>
      <c r="T926" s="20"/>
      <c r="U926" s="20"/>
      <c r="V926" s="20"/>
      <c r="W926" s="20"/>
    </row>
    <row r="927" customFormat="false" ht="15.75" hidden="false" customHeight="false" outlineLevel="0" collapsed="false">
      <c r="D927" s="20"/>
      <c r="E927" s="20"/>
      <c r="I927" s="20"/>
      <c r="J927" s="20"/>
      <c r="K927" s="20"/>
      <c r="L927" s="20"/>
      <c r="M927" s="20"/>
      <c r="N927" s="20"/>
      <c r="O927" s="20"/>
      <c r="P927" s="20"/>
      <c r="Q927" s="20"/>
      <c r="R927" s="20"/>
      <c r="S927" s="20"/>
      <c r="T927" s="20"/>
      <c r="U927" s="20"/>
      <c r="V927" s="20"/>
      <c r="W927" s="20"/>
    </row>
    <row r="928" customFormat="false" ht="15.75" hidden="false" customHeight="false" outlineLevel="0" collapsed="false">
      <c r="D928" s="20"/>
      <c r="E928" s="20"/>
      <c r="I928" s="20"/>
      <c r="J928" s="20"/>
      <c r="K928" s="20"/>
      <c r="L928" s="20"/>
      <c r="M928" s="20"/>
      <c r="N928" s="20"/>
      <c r="O928" s="20"/>
      <c r="P928" s="20"/>
      <c r="Q928" s="20"/>
      <c r="R928" s="20"/>
      <c r="S928" s="20"/>
      <c r="T928" s="20"/>
      <c r="U928" s="20"/>
      <c r="V928" s="20"/>
      <c r="W928" s="20"/>
    </row>
    <row r="929" customFormat="false" ht="15.75" hidden="false" customHeight="false" outlineLevel="0" collapsed="false">
      <c r="D929" s="20"/>
      <c r="E929" s="20"/>
      <c r="I929" s="20"/>
      <c r="J929" s="20"/>
      <c r="K929" s="20"/>
      <c r="L929" s="20"/>
      <c r="M929" s="20"/>
      <c r="N929" s="20"/>
      <c r="O929" s="20"/>
      <c r="P929" s="20"/>
      <c r="Q929" s="20"/>
      <c r="R929" s="20"/>
      <c r="S929" s="20"/>
      <c r="T929" s="20"/>
      <c r="U929" s="20"/>
      <c r="V929" s="20"/>
      <c r="W929" s="20"/>
    </row>
    <row r="930" customFormat="false" ht="15.75" hidden="false" customHeight="false" outlineLevel="0" collapsed="false">
      <c r="D930" s="20"/>
      <c r="E930" s="20"/>
      <c r="I930" s="20"/>
      <c r="J930" s="20"/>
      <c r="K930" s="20"/>
      <c r="L930" s="20"/>
      <c r="M930" s="20"/>
      <c r="N930" s="20"/>
      <c r="O930" s="20"/>
      <c r="P930" s="20"/>
      <c r="Q930" s="20"/>
      <c r="R930" s="20"/>
      <c r="S930" s="20"/>
      <c r="T930" s="20"/>
      <c r="U930" s="20"/>
      <c r="V930" s="20"/>
      <c r="W930" s="20"/>
    </row>
    <row r="931" customFormat="false" ht="15.75" hidden="false" customHeight="false" outlineLevel="0" collapsed="false">
      <c r="D931" s="20"/>
      <c r="E931" s="20"/>
      <c r="I931" s="20"/>
      <c r="J931" s="20"/>
      <c r="K931" s="20"/>
      <c r="L931" s="20"/>
      <c r="M931" s="20"/>
      <c r="N931" s="20"/>
      <c r="O931" s="20"/>
      <c r="P931" s="20"/>
      <c r="Q931" s="20"/>
      <c r="R931" s="20"/>
      <c r="S931" s="20"/>
      <c r="T931" s="20"/>
      <c r="U931" s="20"/>
      <c r="V931" s="20"/>
      <c r="W931" s="20"/>
    </row>
    <row r="932" customFormat="false" ht="15.75" hidden="false" customHeight="false" outlineLevel="0" collapsed="false">
      <c r="D932" s="20"/>
      <c r="E932" s="20"/>
      <c r="I932" s="20"/>
      <c r="J932" s="20"/>
      <c r="K932" s="20"/>
      <c r="L932" s="20"/>
      <c r="M932" s="20"/>
      <c r="N932" s="20"/>
      <c r="O932" s="20"/>
      <c r="P932" s="20"/>
      <c r="Q932" s="20"/>
      <c r="R932" s="20"/>
      <c r="S932" s="20"/>
      <c r="T932" s="20"/>
      <c r="U932" s="20"/>
      <c r="V932" s="20"/>
      <c r="W932" s="20"/>
    </row>
    <row r="933" customFormat="false" ht="15.75" hidden="false" customHeight="false" outlineLevel="0" collapsed="false">
      <c r="D933" s="20"/>
      <c r="E933" s="20"/>
      <c r="I933" s="20"/>
      <c r="J933" s="20"/>
      <c r="K933" s="20"/>
      <c r="L933" s="20"/>
      <c r="M933" s="20"/>
      <c r="N933" s="20"/>
      <c r="O933" s="20"/>
      <c r="P933" s="20"/>
      <c r="Q933" s="20"/>
      <c r="R933" s="20"/>
      <c r="S933" s="20"/>
      <c r="T933" s="20"/>
      <c r="U933" s="20"/>
      <c r="V933" s="20"/>
      <c r="W933" s="20"/>
    </row>
    <row r="934" customFormat="false" ht="15.75" hidden="false" customHeight="false" outlineLevel="0" collapsed="false">
      <c r="D934" s="20"/>
      <c r="E934" s="20"/>
      <c r="I934" s="20"/>
      <c r="J934" s="20"/>
      <c r="K934" s="20"/>
      <c r="L934" s="20"/>
      <c r="M934" s="20"/>
      <c r="N934" s="20"/>
      <c r="O934" s="20"/>
      <c r="P934" s="20"/>
      <c r="Q934" s="20"/>
      <c r="R934" s="20"/>
      <c r="S934" s="20"/>
      <c r="T934" s="20"/>
      <c r="U934" s="20"/>
      <c r="V934" s="20"/>
      <c r="W934" s="20"/>
    </row>
    <row r="935" customFormat="false" ht="15.75" hidden="false" customHeight="false" outlineLevel="0" collapsed="false">
      <c r="D935" s="20"/>
      <c r="E935" s="20"/>
      <c r="I935" s="20"/>
      <c r="J935" s="20"/>
      <c r="K935" s="20"/>
      <c r="L935" s="20"/>
      <c r="M935" s="20"/>
      <c r="N935" s="20"/>
      <c r="O935" s="20"/>
      <c r="P935" s="20"/>
      <c r="Q935" s="20"/>
      <c r="R935" s="20"/>
      <c r="S935" s="20"/>
      <c r="T935" s="20"/>
      <c r="U935" s="20"/>
      <c r="V935" s="20"/>
      <c r="W935" s="20"/>
    </row>
    <row r="936" customFormat="false" ht="15.75" hidden="false" customHeight="false" outlineLevel="0" collapsed="false">
      <c r="D936" s="20"/>
      <c r="E936" s="20"/>
      <c r="I936" s="20"/>
      <c r="J936" s="20"/>
      <c r="K936" s="20"/>
      <c r="L936" s="20"/>
      <c r="M936" s="20"/>
      <c r="N936" s="20"/>
      <c r="O936" s="20"/>
      <c r="P936" s="20"/>
      <c r="Q936" s="20"/>
      <c r="R936" s="20"/>
      <c r="S936" s="20"/>
      <c r="T936" s="20"/>
      <c r="U936" s="20"/>
      <c r="V936" s="20"/>
      <c r="W936" s="20"/>
    </row>
    <row r="937" customFormat="false" ht="15.75" hidden="false" customHeight="false" outlineLevel="0" collapsed="false">
      <c r="D937" s="20"/>
      <c r="E937" s="20"/>
      <c r="I937" s="20"/>
      <c r="J937" s="20"/>
      <c r="K937" s="20"/>
      <c r="L937" s="20"/>
      <c r="M937" s="20"/>
      <c r="N937" s="20"/>
      <c r="O937" s="20"/>
      <c r="P937" s="20"/>
      <c r="Q937" s="20"/>
      <c r="R937" s="20"/>
      <c r="S937" s="20"/>
      <c r="T937" s="20"/>
      <c r="U937" s="20"/>
      <c r="V937" s="20"/>
      <c r="W937" s="20"/>
    </row>
    <row r="938" customFormat="false" ht="15.75" hidden="false" customHeight="false" outlineLevel="0" collapsed="false">
      <c r="D938" s="20"/>
      <c r="E938" s="20"/>
      <c r="I938" s="20"/>
      <c r="J938" s="20"/>
      <c r="K938" s="20"/>
      <c r="L938" s="20"/>
      <c r="M938" s="20"/>
      <c r="N938" s="20"/>
      <c r="O938" s="20"/>
      <c r="P938" s="20"/>
      <c r="Q938" s="20"/>
      <c r="R938" s="20"/>
      <c r="S938" s="20"/>
      <c r="T938" s="20"/>
      <c r="U938" s="20"/>
      <c r="V938" s="20"/>
      <c r="W938" s="20"/>
    </row>
    <row r="939" customFormat="false" ht="15.75" hidden="false" customHeight="false" outlineLevel="0" collapsed="false">
      <c r="D939" s="20"/>
      <c r="E939" s="20"/>
      <c r="I939" s="20"/>
      <c r="J939" s="20"/>
      <c r="K939" s="20"/>
      <c r="L939" s="20"/>
      <c r="M939" s="20"/>
      <c r="N939" s="20"/>
      <c r="O939" s="20"/>
      <c r="P939" s="20"/>
      <c r="Q939" s="20"/>
      <c r="R939" s="20"/>
      <c r="S939" s="20"/>
      <c r="T939" s="20"/>
      <c r="U939" s="20"/>
      <c r="V939" s="20"/>
      <c r="W939" s="20"/>
    </row>
    <row r="940" customFormat="false" ht="15.75" hidden="false" customHeight="false" outlineLevel="0" collapsed="false">
      <c r="D940" s="20"/>
      <c r="E940" s="20"/>
      <c r="I940" s="20"/>
      <c r="J940" s="20"/>
      <c r="K940" s="20"/>
      <c r="L940" s="20"/>
      <c r="M940" s="20"/>
      <c r="N940" s="20"/>
      <c r="O940" s="20"/>
      <c r="P940" s="20"/>
      <c r="Q940" s="20"/>
      <c r="R940" s="20"/>
      <c r="S940" s="20"/>
      <c r="T940" s="20"/>
      <c r="U940" s="20"/>
      <c r="V940" s="20"/>
      <c r="W940" s="20"/>
    </row>
    <row r="941" customFormat="false" ht="15.75" hidden="false" customHeight="false" outlineLevel="0" collapsed="false">
      <c r="D941" s="20"/>
      <c r="E941" s="20"/>
      <c r="I941" s="20"/>
      <c r="J941" s="20"/>
      <c r="K941" s="20"/>
      <c r="L941" s="20"/>
      <c r="M941" s="20"/>
      <c r="N941" s="20"/>
      <c r="O941" s="20"/>
      <c r="P941" s="20"/>
      <c r="Q941" s="20"/>
      <c r="R941" s="20"/>
      <c r="S941" s="20"/>
      <c r="T941" s="20"/>
      <c r="U941" s="20"/>
      <c r="V941" s="20"/>
      <c r="W941" s="20"/>
    </row>
    <row r="942" customFormat="false" ht="15.75" hidden="false" customHeight="false" outlineLevel="0" collapsed="false">
      <c r="D942" s="20"/>
      <c r="E942" s="20"/>
      <c r="I942" s="20"/>
      <c r="J942" s="20"/>
      <c r="K942" s="20"/>
      <c r="L942" s="20"/>
      <c r="M942" s="20"/>
      <c r="N942" s="20"/>
      <c r="O942" s="20"/>
      <c r="P942" s="20"/>
      <c r="Q942" s="20"/>
      <c r="R942" s="20"/>
      <c r="S942" s="20"/>
      <c r="T942" s="20"/>
      <c r="U942" s="20"/>
      <c r="V942" s="20"/>
      <c r="W942" s="20"/>
    </row>
    <row r="943" customFormat="false" ht="15.75" hidden="false" customHeight="false" outlineLevel="0" collapsed="false">
      <c r="D943" s="20"/>
      <c r="E943" s="20"/>
      <c r="I943" s="20"/>
      <c r="J943" s="20"/>
      <c r="K943" s="20"/>
      <c r="L943" s="20"/>
      <c r="M943" s="20"/>
      <c r="N943" s="20"/>
      <c r="O943" s="20"/>
      <c r="P943" s="20"/>
      <c r="Q943" s="20"/>
      <c r="R943" s="20"/>
      <c r="S943" s="20"/>
      <c r="T943" s="20"/>
      <c r="U943" s="20"/>
      <c r="V943" s="20"/>
      <c r="W943" s="20"/>
    </row>
    <row r="944" customFormat="false" ht="15.75" hidden="false" customHeight="false" outlineLevel="0" collapsed="false">
      <c r="D944" s="20"/>
      <c r="E944" s="20"/>
      <c r="I944" s="20"/>
      <c r="J944" s="20"/>
      <c r="K944" s="20"/>
      <c r="L944" s="20"/>
      <c r="M944" s="20"/>
      <c r="N944" s="20"/>
      <c r="O944" s="20"/>
      <c r="P944" s="20"/>
      <c r="Q944" s="20"/>
      <c r="R944" s="20"/>
      <c r="S944" s="20"/>
      <c r="T944" s="20"/>
      <c r="U944" s="20"/>
      <c r="V944" s="20"/>
      <c r="W944" s="20"/>
    </row>
    <row r="945" customFormat="false" ht="15.75" hidden="false" customHeight="false" outlineLevel="0" collapsed="false">
      <c r="D945" s="20"/>
      <c r="E945" s="20"/>
      <c r="I945" s="20"/>
      <c r="J945" s="20"/>
      <c r="K945" s="20"/>
      <c r="L945" s="20"/>
      <c r="M945" s="20"/>
      <c r="N945" s="20"/>
      <c r="O945" s="20"/>
      <c r="P945" s="20"/>
      <c r="Q945" s="20"/>
      <c r="R945" s="20"/>
      <c r="S945" s="20"/>
      <c r="T945" s="20"/>
      <c r="U945" s="20"/>
      <c r="V945" s="20"/>
      <c r="W945" s="20"/>
    </row>
    <row r="946" customFormat="false" ht="15.75" hidden="false" customHeight="false" outlineLevel="0" collapsed="false">
      <c r="D946" s="20"/>
      <c r="E946" s="20"/>
      <c r="I946" s="20"/>
      <c r="J946" s="20"/>
      <c r="K946" s="20"/>
      <c r="L946" s="20"/>
      <c r="M946" s="20"/>
      <c r="N946" s="20"/>
      <c r="O946" s="20"/>
      <c r="P946" s="20"/>
      <c r="Q946" s="20"/>
      <c r="R946" s="20"/>
      <c r="S946" s="20"/>
      <c r="T946" s="20"/>
      <c r="U946" s="20"/>
      <c r="V946" s="20"/>
      <c r="W946" s="20"/>
    </row>
    <row r="947" customFormat="false" ht="15.75" hidden="false" customHeight="false" outlineLevel="0" collapsed="false">
      <c r="D947" s="20"/>
      <c r="E947" s="20"/>
      <c r="I947" s="20"/>
      <c r="J947" s="20"/>
      <c r="K947" s="20"/>
      <c r="L947" s="20"/>
      <c r="M947" s="20"/>
      <c r="N947" s="20"/>
      <c r="O947" s="20"/>
      <c r="P947" s="20"/>
      <c r="Q947" s="20"/>
      <c r="R947" s="20"/>
      <c r="S947" s="20"/>
      <c r="T947" s="20"/>
      <c r="U947" s="20"/>
      <c r="V947" s="20"/>
      <c r="W947" s="20"/>
    </row>
    <row r="948" customFormat="false" ht="15.75" hidden="false" customHeight="false" outlineLevel="0" collapsed="false">
      <c r="D948" s="20"/>
      <c r="E948" s="20"/>
      <c r="I948" s="20"/>
      <c r="J948" s="20"/>
      <c r="K948" s="20"/>
      <c r="L948" s="20"/>
      <c r="M948" s="20"/>
      <c r="N948" s="20"/>
      <c r="O948" s="20"/>
      <c r="P948" s="20"/>
      <c r="Q948" s="20"/>
      <c r="R948" s="20"/>
      <c r="S948" s="20"/>
      <c r="T948" s="20"/>
      <c r="U948" s="20"/>
      <c r="V948" s="20"/>
      <c r="W948" s="20"/>
    </row>
    <row r="949" customFormat="false" ht="15.75" hidden="false" customHeight="false" outlineLevel="0" collapsed="false">
      <c r="D949" s="20"/>
      <c r="E949" s="20"/>
      <c r="I949" s="20"/>
      <c r="J949" s="20"/>
      <c r="K949" s="20"/>
      <c r="L949" s="20"/>
      <c r="M949" s="20"/>
      <c r="N949" s="20"/>
      <c r="O949" s="20"/>
      <c r="P949" s="20"/>
      <c r="Q949" s="20"/>
      <c r="R949" s="20"/>
      <c r="S949" s="20"/>
      <c r="T949" s="20"/>
      <c r="U949" s="20"/>
      <c r="V949" s="20"/>
      <c r="W949" s="20"/>
    </row>
    <row r="950" customFormat="false" ht="15.75" hidden="false" customHeight="false" outlineLevel="0" collapsed="false">
      <c r="D950" s="20"/>
      <c r="E950" s="20"/>
      <c r="I950" s="20"/>
      <c r="J950" s="20"/>
      <c r="K950" s="20"/>
      <c r="L950" s="20"/>
      <c r="M950" s="20"/>
      <c r="N950" s="20"/>
      <c r="O950" s="20"/>
      <c r="P950" s="20"/>
      <c r="Q950" s="20"/>
      <c r="R950" s="20"/>
      <c r="S950" s="20"/>
      <c r="T950" s="20"/>
      <c r="U950" s="20"/>
      <c r="V950" s="20"/>
      <c r="W950" s="20"/>
    </row>
  </sheetData>
  <conditionalFormatting sqref="F2:F17">
    <cfRule type="colorScale" priority="2">
      <colorScale>
        <cfvo type="formula" val="0"/>
        <cfvo type="percent" val="10"/>
        <cfvo type="max" val="0"/>
        <color rgb="FFFF0000"/>
        <color rgb="FFFFFFFF"/>
        <color rgb="FFFFFFFF"/>
      </colorScale>
    </cfRule>
  </conditionalFormatting>
  <hyperlinks>
    <hyperlink ref="I1" r:id="rId1" display="https://www.cocktailbuilder.com/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H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4" activeCellId="0" sqref="B14"/>
    </sheetView>
  </sheetViews>
  <sheetFormatPr defaultColWidth="12.6328125" defaultRowHeight="15.75" customHeight="true" zeroHeight="false" outlineLevelRow="0" outlineLevelCol="0"/>
  <cols>
    <col collapsed="false" customWidth="false" hidden="false" outlineLevel="0" max="16384" min="1" style="19" width="12.63"/>
  </cols>
  <sheetData>
    <row r="1" customFormat="false" ht="15.75" hidden="false" customHeight="false" outlineLevel="0" collapsed="false">
      <c r="A1" s="33" t="s">
        <v>319</v>
      </c>
      <c r="B1" s="34" t="s">
        <v>320</v>
      </c>
      <c r="C1" s="35" t="s">
        <v>321</v>
      </c>
      <c r="D1" s="1"/>
      <c r="E1" s="1"/>
      <c r="F1" s="1"/>
      <c r="G1" s="1" t="s">
        <v>231</v>
      </c>
      <c r="H1" s="1" t="s">
        <v>322</v>
      </c>
    </row>
    <row r="2" customFormat="false" ht="15.75" hidden="false" customHeight="false" outlineLevel="0" collapsed="false">
      <c r="A2" s="1" t="s">
        <v>323</v>
      </c>
      <c r="B2" s="5" t="n">
        <v>300</v>
      </c>
      <c r="C2" s="5" t="n">
        <v>10</v>
      </c>
      <c r="D2" s="36" t="s">
        <v>324</v>
      </c>
      <c r="E2" s="1" t="s">
        <v>325</v>
      </c>
      <c r="F2" s="1"/>
      <c r="G2" s="1" t="s">
        <v>264</v>
      </c>
      <c r="H2" s="1" t="s">
        <v>326</v>
      </c>
    </row>
    <row r="3" customFormat="false" ht="15.75" hidden="false" customHeight="false" outlineLevel="0" collapsed="false">
      <c r="A3" s="1" t="s">
        <v>327</v>
      </c>
      <c r="B3" s="5" t="n">
        <v>180</v>
      </c>
      <c r="C3" s="5" t="n">
        <v>6</v>
      </c>
      <c r="D3" s="36" t="s">
        <v>328</v>
      </c>
      <c r="E3" s="1" t="s">
        <v>329</v>
      </c>
      <c r="F3" s="1"/>
      <c r="G3" s="1" t="s">
        <v>225</v>
      </c>
      <c r="H3" s="1" t="s">
        <v>330</v>
      </c>
    </row>
    <row r="4" customFormat="false" ht="15.75" hidden="false" customHeight="false" outlineLevel="0" collapsed="false">
      <c r="A4" s="1" t="s">
        <v>331</v>
      </c>
      <c r="B4" s="5" t="n">
        <v>120</v>
      </c>
      <c r="C4" s="5" t="n">
        <v>4</v>
      </c>
      <c r="D4" s="5"/>
      <c r="E4" s="1"/>
      <c r="F4" s="1"/>
      <c r="G4" s="1" t="s">
        <v>267</v>
      </c>
      <c r="H4" s="1" t="s">
        <v>332</v>
      </c>
    </row>
  </sheetData>
  <hyperlinks>
    <hyperlink ref="D2" r:id="rId1" location="content" display="https://www.ikea.com/nl/nl/p/pokal-glas-helder-glas-10270478/"/>
    <hyperlink ref="D3" r:id="rId2" display="https://www.ikea.com/nl/nl/p/pokal-glas-helder-glas-30288241/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6" activeCellId="0" sqref="D6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20" width="19"/>
    <col collapsed="false" customWidth="false" hidden="false" outlineLevel="0" max="16384" min="2" style="19" width="12.63"/>
  </cols>
  <sheetData>
    <row r="1" customFormat="false" ht="15.75" hidden="false" customHeight="false" outlineLevel="0" collapsed="false">
      <c r="B1" s="1" t="s">
        <v>333</v>
      </c>
    </row>
    <row r="2" customFormat="false" ht="15.75" hidden="false" customHeight="false" outlineLevel="0" collapsed="false">
      <c r="A2" s="1" t="s">
        <v>334</v>
      </c>
      <c r="B2" s="37" t="n">
        <v>200</v>
      </c>
    </row>
    <row r="3" customFormat="false" ht="15.75" hidden="false" customHeight="false" outlineLevel="0" collapsed="false">
      <c r="A3" s="1"/>
      <c r="B3" s="13" t="n">
        <f aca="false">B2+B$9</f>
        <v>4180</v>
      </c>
    </row>
    <row r="4" customFormat="false" ht="15.75" hidden="false" customHeight="false" outlineLevel="0" collapsed="false">
      <c r="A4" s="1"/>
      <c r="B4" s="13" t="n">
        <f aca="false">B3+B$9</f>
        <v>8160</v>
      </c>
    </row>
    <row r="5" customFormat="false" ht="15.75" hidden="false" customHeight="false" outlineLevel="0" collapsed="false">
      <c r="A5" s="1"/>
      <c r="B5" s="13" t="n">
        <f aca="false">B4+B$9</f>
        <v>12140</v>
      </c>
    </row>
    <row r="6" customFormat="false" ht="15.75" hidden="false" customHeight="false" outlineLevel="0" collapsed="false">
      <c r="A6" s="1"/>
      <c r="B6" s="13" t="n">
        <f aca="false">B5+B$9</f>
        <v>16120</v>
      </c>
    </row>
    <row r="7" customFormat="false" ht="15.75" hidden="false" customHeight="false" outlineLevel="0" collapsed="false">
      <c r="A7" s="1" t="s">
        <v>335</v>
      </c>
      <c r="B7" s="37" t="n">
        <v>20100</v>
      </c>
    </row>
    <row r="8" customFormat="false" ht="15.75" hidden="false" customHeight="false" outlineLevel="0" collapsed="false">
      <c r="A8" s="1" t="s">
        <v>336</v>
      </c>
      <c r="B8" s="13" t="n">
        <f aca="false">B7+B$9</f>
        <v>24080</v>
      </c>
    </row>
    <row r="9" customFormat="false" ht="15.75" hidden="false" customHeight="false" outlineLevel="0" collapsed="false">
      <c r="A9" s="1" t="s">
        <v>337</v>
      </c>
      <c r="B9" s="1" t="n">
        <f aca="false">(B7-B2)/5</f>
        <v>3980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5" activeCellId="0" sqref="D35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16384" min="1" style="19" width="11.53"/>
  </cols>
  <sheetData>
    <row r="1" customFormat="false" ht="12.8" hidden="false" customHeight="false" outlineLevel="0" collapsed="false">
      <c r="A1" s="19" t="s">
        <v>338</v>
      </c>
      <c r="B1" s="38" t="n">
        <v>10</v>
      </c>
    </row>
    <row r="2" customFormat="false" ht="12.8" hidden="false" customHeight="false" outlineLevel="0" collapsed="false">
      <c r="A2" s="19" t="s">
        <v>339</v>
      </c>
      <c r="B2" s="19" t="n">
        <v>100</v>
      </c>
    </row>
    <row r="3" customFormat="false" ht="12.8" hidden="false" customHeight="false" outlineLevel="0" collapsed="false">
      <c r="A3" s="19" t="s">
        <v>340</v>
      </c>
      <c r="B3" s="19" t="n">
        <v>23900</v>
      </c>
    </row>
    <row r="5" customFormat="false" ht="12.8" hidden="false" customHeight="false" outlineLevel="0" collapsed="false">
      <c r="A5" s="19" t="s">
        <v>341</v>
      </c>
      <c r="B5" s="19" t="n">
        <v>0</v>
      </c>
      <c r="C5" s="19" t="n">
        <v>3500</v>
      </c>
      <c r="D5" s="19" t="n">
        <v>7625</v>
      </c>
      <c r="E5" s="19" t="n">
        <v>11750</v>
      </c>
      <c r="F5" s="19" t="n">
        <v>15875</v>
      </c>
      <c r="G5" s="19" t="n">
        <v>20000</v>
      </c>
      <c r="H5" s="19" t="n">
        <v>23900</v>
      </c>
    </row>
    <row r="7" customFormat="false" ht="12.8" hidden="false" customHeight="false" outlineLevel="0" collapsed="false">
      <c r="B7" s="19" t="n">
        <f aca="false">ROUNDDOWN((B5*$B2)/$B3,0)</f>
        <v>0</v>
      </c>
      <c r="C7" s="19" t="n">
        <f aca="false">ROUNDDOWN((C5*$B2)/$B3,0)</f>
        <v>14</v>
      </c>
      <c r="D7" s="19" t="n">
        <f aca="false">ROUNDDOWN((D5*$B2)/$B3,0)</f>
        <v>31</v>
      </c>
      <c r="E7" s="19" t="n">
        <f aca="false">ROUNDDOWN((E5*$B2)/$B3,0)</f>
        <v>49</v>
      </c>
      <c r="F7" s="19" t="n">
        <f aca="false">ROUNDDOWN((F5*$B2)/$B3,0)</f>
        <v>66</v>
      </c>
      <c r="G7" s="19" t="n">
        <f aca="false">ROUNDDOWN((G5*$B2)/$B3,0)</f>
        <v>83</v>
      </c>
      <c r="H7" s="19" t="n">
        <f aca="false">ROUNDDOWN((H5*$B2)/$B3,0)</f>
        <v>100</v>
      </c>
    </row>
    <row r="11" customFormat="false" ht="12.8" hidden="false" customHeight="false" outlineLevel="0" collapsed="false">
      <c r="A11" s="19" t="s">
        <v>342</v>
      </c>
    </row>
    <row r="15" customFormat="false" ht="12.8" hidden="false" customHeight="false" outlineLevel="0" collapsed="false">
      <c r="A15" s="19" t="n">
        <v>0</v>
      </c>
      <c r="B15" s="19" t="str">
        <f aca="false">"i"&amp;A15&amp;"=VODKA&amp;m"&amp;A15&amp;"=10"</f>
        <v>i0=VODKA&amp;m0=10</v>
      </c>
    </row>
    <row r="16" customFormat="false" ht="12.8" hidden="false" customHeight="false" outlineLevel="0" collapsed="false">
      <c r="A16" s="19" t="n">
        <v>1</v>
      </c>
      <c r="B16" s="19" t="str">
        <f aca="false">"i"&amp;A16&amp;"=VODKA&amp;m"&amp;A16&amp;"=10"</f>
        <v>i1=VODKA&amp;m1=10</v>
      </c>
    </row>
    <row r="17" customFormat="false" ht="12.8" hidden="false" customHeight="false" outlineLevel="0" collapsed="false">
      <c r="A17" s="19" t="n">
        <f aca="false">A16+1</f>
        <v>2</v>
      </c>
      <c r="B17" s="19" t="str">
        <f aca="false">"i"&amp;A17&amp;"=VODKA&amp;m"&amp;A17&amp;"=10"</f>
        <v>i2=VODKA&amp;m2=10</v>
      </c>
    </row>
    <row r="18" customFormat="false" ht="12.8" hidden="false" customHeight="false" outlineLevel="0" collapsed="false">
      <c r="A18" s="19" t="n">
        <f aca="false">A17+1</f>
        <v>3</v>
      </c>
      <c r="B18" s="19" t="str">
        <f aca="false">"i"&amp;A18&amp;"=VODKA&amp;m"&amp;A18&amp;"=10"</f>
        <v>i3=VODKA&amp;m3=10</v>
      </c>
    </row>
    <row r="19" customFormat="false" ht="12.8" hidden="false" customHeight="false" outlineLevel="0" collapsed="false">
      <c r="A19" s="19" t="n">
        <f aca="false">A18+1</f>
        <v>4</v>
      </c>
      <c r="B19" s="19" t="str">
        <f aca="false">"i"&amp;A19&amp;"=VODKA&amp;m"&amp;A19&amp;"=10"</f>
        <v>i4=VODKA&amp;m4=10</v>
      </c>
    </row>
    <row r="20" customFormat="false" ht="12.8" hidden="false" customHeight="false" outlineLevel="0" collapsed="false">
      <c r="A20" s="19" t="n">
        <f aca="false">A19+1</f>
        <v>5</v>
      </c>
      <c r="B20" s="19" t="str">
        <f aca="false">"i"&amp;A20&amp;"=VODKA&amp;m"&amp;A20&amp;"=10"</f>
        <v>i5=VODKA&amp;m5=10</v>
      </c>
    </row>
    <row r="21" customFormat="false" ht="12.8" hidden="false" customHeight="false" outlineLevel="0" collapsed="false">
      <c r="A21" s="19" t="n">
        <f aca="false">A20+1</f>
        <v>6</v>
      </c>
      <c r="B21" s="19" t="str">
        <f aca="false">"i"&amp;A21&amp;"=VODKA&amp;m"&amp;A21&amp;"=10"</f>
        <v>i6=VODKA&amp;m6=10</v>
      </c>
    </row>
    <row r="22" customFormat="false" ht="12.8" hidden="false" customHeight="false" outlineLevel="0" collapsed="false">
      <c r="A22" s="19" t="n">
        <f aca="false">A21+1</f>
        <v>7</v>
      </c>
      <c r="B22" s="19" t="str">
        <f aca="false">"i"&amp;A22&amp;"=VODKA&amp;m"&amp;A22&amp;"=10"</f>
        <v>i7=VODKA&amp;m7=10</v>
      </c>
    </row>
    <row r="23" customFormat="false" ht="12.8" hidden="false" customHeight="false" outlineLevel="0" collapsed="false">
      <c r="B23" s="19" t="str">
        <f aca="false">_xlfn.CONCAT("http://192.168.1.200/set?m=test&amp;",B15,B16,B17,B18,B19,B20,B21,B22)</f>
        <v>http://192.168.1.200/set?m=test&amp;i0=VODKA&amp;m0=10i1=VODKA&amp;m1=10i2=VODKA&amp;m2=10i3=VODKA&amp;m3=10i4=VODKA&amp;m4=10i5=VODKA&amp;m5=10i6=VODKA&amp;m6=10i7=VODKA&amp;m7=10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29" activeCellId="0" sqref="E29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3" min="1" style="19" width="11.53"/>
    <col collapsed="false" customWidth="true" hidden="false" outlineLevel="0" max="4" min="4" style="19" width="2.88"/>
    <col collapsed="false" customWidth="false" hidden="false" outlineLevel="0" max="6" min="5" style="19" width="11.53"/>
    <col collapsed="false" customWidth="true" hidden="false" outlineLevel="0" max="7" min="7" style="19" width="80.95"/>
    <col collapsed="false" customWidth="false" hidden="false" outlineLevel="0" max="16384" min="16" style="19" width="11.53"/>
  </cols>
  <sheetData>
    <row r="1" customFormat="false" ht="12.8" hidden="false" customHeight="false" outlineLevel="0" collapsed="false">
      <c r="B1" s="19" t="s">
        <v>343</v>
      </c>
      <c r="C1" s="19" t="s">
        <v>344</v>
      </c>
      <c r="E1" s="0" t="s">
        <v>345</v>
      </c>
      <c r="F1" s="0" t="s">
        <v>346</v>
      </c>
      <c r="G1" s="0" t="s">
        <v>347</v>
      </c>
    </row>
    <row r="2" customFormat="false" ht="12.8" hidden="false" customHeight="false" outlineLevel="0" collapsed="false">
      <c r="A2" s="19" t="s">
        <v>348</v>
      </c>
      <c r="B2" s="38" t="n">
        <f aca="false">AVERAGE(F2:F12)</f>
        <v>52.7272727272727</v>
      </c>
      <c r="C2" s="38" t="n">
        <v>50</v>
      </c>
      <c r="E2" s="19" t="n">
        <v>700</v>
      </c>
      <c r="F2" s="19" t="n">
        <v>46</v>
      </c>
      <c r="G2" s="39" t="str">
        <f aca="false">"["&amp;"("&amp;E2&amp;","&amp;F2&amp;")"&amp;IF(G3="","",","&amp;G3)&amp;"]"</f>
        <v>[(700,46),(654,50),(604,53),(551,53),(498,54),(444,54),(390,55),(335,55),(280,54),(226,54),(172,52)]</v>
      </c>
    </row>
    <row r="3" customFormat="false" ht="12.8" hidden="false" customHeight="false" outlineLevel="0" collapsed="false">
      <c r="A3" s="19" t="s">
        <v>349</v>
      </c>
      <c r="B3" s="38" t="n">
        <v>42</v>
      </c>
      <c r="C3" s="19" t="n">
        <f aca="false">ROUND((B3/B2)*C2,1)</f>
        <v>39.8</v>
      </c>
      <c r="E3" s="19" t="n">
        <f aca="false">E2-F2</f>
        <v>654</v>
      </c>
      <c r="F3" s="19" t="n">
        <v>50</v>
      </c>
      <c r="G3" s="40" t="str">
        <f aca="false">"("&amp;E3&amp;","&amp;F3&amp;")"&amp;IF(G4="","",","&amp;G4)</f>
        <v>(654,50),(604,53),(551,53),(498,54),(444,54),(390,55),(335,55),(280,54),(226,54),(172,52)</v>
      </c>
    </row>
    <row r="4" customFormat="false" ht="12.8" hidden="false" customHeight="false" outlineLevel="0" collapsed="false">
      <c r="C4" s="19" t="n">
        <f aca="false">ROUND(B2/B3*C3,2)</f>
        <v>49.97</v>
      </c>
      <c r="E4" s="19" t="n">
        <f aca="false">E3-F3</f>
        <v>604</v>
      </c>
      <c r="F4" s="19" t="n">
        <v>53</v>
      </c>
      <c r="G4" s="40" t="str">
        <f aca="false">"("&amp;E4&amp;","&amp;F4&amp;")"&amp;IF(G5="","",","&amp;G5)</f>
        <v>(604,53),(551,53),(498,54),(444,54),(390,55),(335,55),(280,54),(226,54),(172,52)</v>
      </c>
    </row>
    <row r="5" customFormat="false" ht="12.8" hidden="false" customHeight="false" outlineLevel="0" collapsed="false">
      <c r="E5" s="19" t="n">
        <f aca="false">E4-F4</f>
        <v>551</v>
      </c>
      <c r="F5" s="19" t="n">
        <v>53</v>
      </c>
      <c r="G5" s="40" t="str">
        <f aca="false">"("&amp;E5&amp;","&amp;F5&amp;")"&amp;IF(G6="","",","&amp;G6)</f>
        <v>(551,53),(498,54),(444,54),(390,55),(335,55),(280,54),(226,54),(172,52)</v>
      </c>
    </row>
    <row r="6" customFormat="false" ht="12.8" hidden="false" customHeight="false" outlineLevel="0" collapsed="false">
      <c r="B6" s="19" t="s">
        <v>343</v>
      </c>
      <c r="C6" s="19" t="s">
        <v>344</v>
      </c>
      <c r="E6" s="19" t="n">
        <f aca="false">E5-F5</f>
        <v>498</v>
      </c>
      <c r="F6" s="19" t="n">
        <v>54</v>
      </c>
      <c r="G6" s="40" t="str">
        <f aca="false">"("&amp;E6&amp;","&amp;F6&amp;")"&amp;IF(G7="","",","&amp;G7)</f>
        <v>(498,54),(444,54),(390,55),(335,55),(280,54),(226,54),(172,52)</v>
      </c>
    </row>
    <row r="7" customFormat="false" ht="12.8" hidden="false" customHeight="false" outlineLevel="0" collapsed="false">
      <c r="A7" s="19" t="s">
        <v>348</v>
      </c>
      <c r="B7" s="38" t="n">
        <f aca="false">AVERAGE(F14:F19)</f>
        <v>98.8333333333333</v>
      </c>
      <c r="C7" s="38" t="n">
        <v>100</v>
      </c>
      <c r="E7" s="19" t="n">
        <f aca="false">E6-F6</f>
        <v>444</v>
      </c>
      <c r="F7" s="19" t="n">
        <v>54</v>
      </c>
      <c r="G7" s="40" t="str">
        <f aca="false">"("&amp;E7&amp;","&amp;F7&amp;")"&amp;IF(G8="","",","&amp;G8)</f>
        <v>(444,54),(390,55),(335,55),(280,54),(226,54),(172,52)</v>
      </c>
    </row>
    <row r="8" customFormat="false" ht="12.8" hidden="false" customHeight="false" outlineLevel="0" collapsed="false">
      <c r="A8" s="19" t="s">
        <v>349</v>
      </c>
      <c r="B8" s="38" t="n">
        <v>45</v>
      </c>
      <c r="C8" s="19" t="n">
        <f aca="false">ROUND((B8/B7)*C7,1)</f>
        <v>45.5</v>
      </c>
      <c r="E8" s="19" t="n">
        <f aca="false">E7-F7</f>
        <v>390</v>
      </c>
      <c r="F8" s="19" t="n">
        <v>55</v>
      </c>
      <c r="G8" s="40" t="str">
        <f aca="false">"("&amp;E8&amp;","&amp;F8&amp;")"&amp;IF(G9="","",","&amp;G9)</f>
        <v>(390,55),(335,55),(280,54),(226,54),(172,52)</v>
      </c>
    </row>
    <row r="9" customFormat="false" ht="12.8" hidden="false" customHeight="false" outlineLevel="0" collapsed="false">
      <c r="C9" s="19" t="n">
        <f aca="false">ROUND(B7/B8*C8,2)</f>
        <v>99.93</v>
      </c>
      <c r="E9" s="19" t="n">
        <f aca="false">E8-F8</f>
        <v>335</v>
      </c>
      <c r="F9" s="19" t="n">
        <v>55</v>
      </c>
      <c r="G9" s="40" t="str">
        <f aca="false">"("&amp;E9&amp;","&amp;F9&amp;")"&amp;IF(G10="","",","&amp;G10)</f>
        <v>(335,55),(280,54),(226,54),(172,52)</v>
      </c>
    </row>
    <row r="10" customFormat="false" ht="12.8" hidden="false" customHeight="false" outlineLevel="0" collapsed="false">
      <c r="E10" s="19" t="n">
        <f aca="false">E9-F9</f>
        <v>280</v>
      </c>
      <c r="F10" s="19" t="n">
        <v>54</v>
      </c>
      <c r="G10" s="40" t="str">
        <f aca="false">"("&amp;E10&amp;","&amp;F10&amp;")"&amp;IF(G11="","",","&amp;G11)</f>
        <v>(280,54),(226,54),(172,52)</v>
      </c>
    </row>
    <row r="11" customFormat="false" ht="12.8" hidden="false" customHeight="false" outlineLevel="0" collapsed="false">
      <c r="B11" s="19" t="s">
        <v>343</v>
      </c>
      <c r="C11" s="19" t="s">
        <v>344</v>
      </c>
      <c r="E11" s="19" t="n">
        <f aca="false">E10-F10</f>
        <v>226</v>
      </c>
      <c r="F11" s="19" t="n">
        <v>54</v>
      </c>
      <c r="G11" s="40" t="str">
        <f aca="false">"("&amp;E11&amp;","&amp;F11&amp;")"&amp;IF(G12="","",","&amp;G12)</f>
        <v>(226,54),(172,52)</v>
      </c>
    </row>
    <row r="12" customFormat="false" ht="12.8" hidden="false" customHeight="false" outlineLevel="0" collapsed="false">
      <c r="A12" s="19" t="s">
        <v>348</v>
      </c>
      <c r="B12" s="38" t="n">
        <f aca="false">AVERAGE(F21:F24)</f>
        <v>145</v>
      </c>
      <c r="C12" s="38" t="n">
        <v>150</v>
      </c>
      <c r="E12" s="19" t="n">
        <f aca="false">E11-F11</f>
        <v>172</v>
      </c>
      <c r="F12" s="19" t="n">
        <v>52</v>
      </c>
      <c r="G12" s="40" t="str">
        <f aca="false">"("&amp;E12&amp;","&amp;F12&amp;")"&amp;IF(G13="","",","&amp;G13)</f>
        <v>(172,52)</v>
      </c>
    </row>
    <row r="13" customFormat="false" ht="12.8" hidden="false" customHeight="false" outlineLevel="0" collapsed="false">
      <c r="A13" s="19" t="s">
        <v>349</v>
      </c>
      <c r="B13" s="38" t="n">
        <v>42</v>
      </c>
      <c r="C13" s="19" t="n">
        <f aca="false">ROUND((B13/B12)*C12,1)</f>
        <v>43.4</v>
      </c>
    </row>
    <row r="14" customFormat="false" ht="12.8" hidden="false" customHeight="false" outlineLevel="0" collapsed="false">
      <c r="C14" s="19" t="n">
        <f aca="false">ROUND(B12/B13*C13,2)</f>
        <v>149.83</v>
      </c>
      <c r="E14" s="19" t="n">
        <v>700</v>
      </c>
      <c r="F14" s="19" t="n">
        <v>90</v>
      </c>
      <c r="G14" s="39" t="str">
        <f aca="false">"["&amp;"("&amp;E14&amp;","&amp;F14&amp;")"&amp;IF(G15="","",","&amp;G15)&amp;"]"</f>
        <v>[(700,90),(610,99),(511,101),(410,102),(308,102),(206,99)]</v>
      </c>
    </row>
    <row r="15" customFormat="false" ht="12.8" hidden="false" customHeight="false" outlineLevel="0" collapsed="false">
      <c r="E15" s="19" t="n">
        <f aca="false">E14-F14</f>
        <v>610</v>
      </c>
      <c r="F15" s="19" t="n">
        <v>99</v>
      </c>
      <c r="G15" s="40" t="str">
        <f aca="false">"("&amp;E15&amp;","&amp;F15&amp;")"&amp;IF(G16="","",","&amp;G16)</f>
        <v>(610,99),(511,101),(410,102),(308,102),(206,99)</v>
      </c>
    </row>
    <row r="16" customFormat="false" ht="12.8" hidden="false" customHeight="false" outlineLevel="0" collapsed="false">
      <c r="B16" s="19" t="s">
        <v>343</v>
      </c>
      <c r="C16" s="19" t="s">
        <v>344</v>
      </c>
      <c r="E16" s="19" t="n">
        <f aca="false">E15-F15</f>
        <v>511</v>
      </c>
      <c r="F16" s="19" t="n">
        <v>101</v>
      </c>
      <c r="G16" s="40" t="str">
        <f aca="false">"("&amp;E16&amp;","&amp;F16&amp;")"&amp;IF(G17="","",","&amp;G17)</f>
        <v>(511,101),(410,102),(308,102),(206,99)</v>
      </c>
    </row>
    <row r="17" customFormat="false" ht="12.8" hidden="false" customHeight="false" outlineLevel="0" collapsed="false">
      <c r="A17" s="19" t="s">
        <v>348</v>
      </c>
      <c r="B17" s="38" t="n">
        <f aca="false">AVERAGE(F26:F28)</f>
        <v>192.333333333333</v>
      </c>
      <c r="C17" s="38" t="n">
        <v>200</v>
      </c>
      <c r="E17" s="19" t="n">
        <f aca="false">E16-F16</f>
        <v>410</v>
      </c>
      <c r="F17" s="19" t="n">
        <v>102</v>
      </c>
      <c r="G17" s="40" t="str">
        <f aca="false">"("&amp;E17&amp;","&amp;F17&amp;")"&amp;IF(G18="","",","&amp;G18)</f>
        <v>(410,102),(308,102),(206,99)</v>
      </c>
    </row>
    <row r="18" customFormat="false" ht="12.8" hidden="false" customHeight="false" outlineLevel="0" collapsed="false">
      <c r="A18" s="19" t="s">
        <v>349</v>
      </c>
      <c r="B18" s="38" t="n">
        <v>45</v>
      </c>
      <c r="C18" s="19" t="n">
        <f aca="false">ROUND((B18/B17)*C17,1)</f>
        <v>46.8</v>
      </c>
      <c r="E18" s="19" t="n">
        <f aca="false">E17-F17</f>
        <v>308</v>
      </c>
      <c r="F18" s="19" t="n">
        <v>102</v>
      </c>
      <c r="G18" s="40" t="str">
        <f aca="false">"("&amp;E18&amp;","&amp;F18&amp;")"&amp;IF(G19="","",","&amp;G19)</f>
        <v>(308,102),(206,99)</v>
      </c>
    </row>
    <row r="19" customFormat="false" ht="12.8" hidden="false" customHeight="false" outlineLevel="0" collapsed="false">
      <c r="C19" s="19" t="n">
        <f aca="false">ROUND(B17/B18*C18,2)</f>
        <v>200.03</v>
      </c>
      <c r="E19" s="19" t="n">
        <f aca="false">E18-F18</f>
        <v>206</v>
      </c>
      <c r="F19" s="19" t="n">
        <v>99</v>
      </c>
      <c r="G19" s="40" t="str">
        <f aca="false">"("&amp;E19&amp;","&amp;F19&amp;")"&amp;IF(G20="","",","&amp;G20)</f>
        <v>(206,99)</v>
      </c>
    </row>
    <row r="21" customFormat="false" ht="12.8" hidden="false" customHeight="false" outlineLevel="0" collapsed="false">
      <c r="A21" s="19" t="s">
        <v>350</v>
      </c>
      <c r="B21" s="38" t="n">
        <v>700</v>
      </c>
      <c r="E21" s="19" t="n">
        <v>700</v>
      </c>
      <c r="F21" s="19" t="n">
        <v>139</v>
      </c>
      <c r="G21" s="39" t="str">
        <f aca="false">"["&amp;"("&amp;E21&amp;","&amp;F21&amp;")"&amp;IF(G22="","",","&amp;G22)&amp;"]"</f>
        <v>[(700,139),(561,149),(412,143),(269,149)]</v>
      </c>
    </row>
    <row r="22" customFormat="false" ht="12.8" hidden="false" customHeight="false" outlineLevel="0" collapsed="false">
      <c r="A22" s="19" t="s">
        <v>351</v>
      </c>
      <c r="B22" s="38" t="n">
        <v>200</v>
      </c>
      <c r="E22" s="19" t="n">
        <f aca="false">E21-F21</f>
        <v>561</v>
      </c>
      <c r="F22" s="19" t="n">
        <v>149</v>
      </c>
      <c r="G22" s="41" t="str">
        <f aca="false">"("&amp;E22&amp;","&amp;F22&amp;")"&amp;IF(G23="","",","&amp;G23)</f>
        <v>(561,149),(412,143),(269,149)</v>
      </c>
    </row>
    <row r="23" customFormat="false" ht="12.8" hidden="false" customHeight="false" outlineLevel="0" collapsed="false">
      <c r="A23" s="19" t="s">
        <v>352</v>
      </c>
      <c r="B23" s="38" t="n">
        <v>46</v>
      </c>
      <c r="E23" s="19" t="n">
        <f aca="false">E22-F22</f>
        <v>412</v>
      </c>
      <c r="F23" s="19" t="n">
        <v>143</v>
      </c>
      <c r="G23" s="40" t="str">
        <f aca="false">"("&amp;E23&amp;","&amp;F23&amp;")"&amp;IF(G24="","",","&amp;G24)</f>
        <v>(412,143),(269,149)</v>
      </c>
    </row>
    <row r="24" customFormat="false" ht="12.8" hidden="false" customHeight="false" outlineLevel="0" collapsed="false">
      <c r="A24" s="19" t="s">
        <v>353</v>
      </c>
      <c r="B24" s="19" t="n">
        <f aca="false">B23*B22</f>
        <v>9200</v>
      </c>
      <c r="E24" s="19" t="n">
        <f aca="false">E23-F23</f>
        <v>269</v>
      </c>
      <c r="F24" s="19" t="n">
        <v>149</v>
      </c>
      <c r="G24" s="40" t="str">
        <f aca="false">"("&amp;E24&amp;","&amp;F24&amp;")"&amp;IF(G25="","",","&amp;G25)</f>
        <v>(269,149)</v>
      </c>
    </row>
    <row r="25" customFormat="false" ht="12.8" hidden="false" customHeight="false" outlineLevel="0" collapsed="false">
      <c r="A25" s="19" t="s">
        <v>354</v>
      </c>
      <c r="B25" s="19" t="n">
        <f aca="false">-(((269 / 200) - 1) / (700 - 300)) * (B21 - 300) + 1</f>
        <v>0.655</v>
      </c>
      <c r="C25" s="42"/>
    </row>
    <row r="26" customFormat="false" ht="12.8" hidden="false" customHeight="false" outlineLevel="0" collapsed="false">
      <c r="A26" s="19" t="s">
        <v>355</v>
      </c>
      <c r="B26" s="39" t="n">
        <f aca="false">B25*B24</f>
        <v>6026</v>
      </c>
      <c r="E26" s="19" t="n">
        <v>700</v>
      </c>
      <c r="F26" s="19" t="n">
        <v>183</v>
      </c>
      <c r="G26" s="39" t="str">
        <f aca="false">"["&amp;"("&amp;E26&amp;","&amp;F26&amp;")"&amp;IF(G27="","",","&amp;G27)&amp;"]"</f>
        <v>[(700,183),(517,195),(322,199)]</v>
      </c>
    </row>
    <row r="27" customFormat="false" ht="12.8" hidden="false" customHeight="false" outlineLevel="0" collapsed="false">
      <c r="E27" s="19" t="n">
        <f aca="false">E26-F26</f>
        <v>517</v>
      </c>
      <c r="F27" s="19" t="n">
        <v>195</v>
      </c>
      <c r="G27" s="40" t="str">
        <f aca="false">"("&amp;E27&amp;","&amp;F27&amp;")"&amp;IF(G28="","",","&amp;G28)</f>
        <v>(517,195),(322,199)</v>
      </c>
    </row>
    <row r="28" customFormat="false" ht="12.8" hidden="false" customHeight="false" outlineLevel="0" collapsed="false">
      <c r="E28" s="19" t="n">
        <f aca="false">E27-F27</f>
        <v>322</v>
      </c>
      <c r="F28" s="19" t="n">
        <v>199</v>
      </c>
      <c r="G28" s="40" t="str">
        <f aca="false">"("&amp;E28&amp;","&amp;F28&amp;")"&amp;IF(G43="","",","&amp;G43)</f>
        <v>(322,199)</v>
      </c>
    </row>
    <row r="29" customFormat="false" ht="12.8" hidden="false" customHeight="false" outlineLevel="0" collapsed="false">
      <c r="E29" s="0"/>
      <c r="F29" s="0"/>
      <c r="G29" s="0"/>
    </row>
    <row r="30" customFormat="false" ht="12.8" hidden="false" customHeight="false" outlineLevel="0" collapsed="false">
      <c r="E30" s="0"/>
      <c r="F30" s="0"/>
      <c r="G30" s="0"/>
    </row>
    <row r="31" customFormat="false" ht="12.8" hidden="false" customHeight="false" outlineLevel="0" collapsed="false">
      <c r="E31" s="0"/>
      <c r="F31" s="0"/>
      <c r="G31" s="0"/>
    </row>
    <row r="32" customFormat="false" ht="12.8" hidden="false" customHeight="false" outlineLevel="0" collapsed="false">
      <c r="C32" s="42"/>
      <c r="E32" s="0"/>
      <c r="F32" s="0"/>
      <c r="G32" s="0"/>
    </row>
    <row r="33" customFormat="false" ht="12.8" hidden="false" customHeight="false" outlineLevel="0" collapsed="false">
      <c r="E33" s="0"/>
      <c r="F33" s="0"/>
      <c r="G33" s="0"/>
    </row>
    <row r="34" customFormat="false" ht="12.8" hidden="false" customHeight="false" outlineLevel="0" collapsed="false">
      <c r="E34" s="0"/>
      <c r="F34" s="0"/>
      <c r="G34" s="0"/>
    </row>
    <row r="35" customFormat="false" ht="12.8" hidden="false" customHeight="false" outlineLevel="0" collapsed="false">
      <c r="E35" s="0"/>
      <c r="F35" s="0"/>
      <c r="G35" s="0"/>
    </row>
    <row r="36" customFormat="false" ht="12.8" hidden="false" customHeight="false" outlineLevel="0" collapsed="false">
      <c r="E36" s="0"/>
      <c r="F36" s="0"/>
      <c r="G36" s="0"/>
    </row>
    <row r="37" customFormat="false" ht="12.8" hidden="false" customHeight="false" outlineLevel="0" collapsed="false">
      <c r="C37" s="42"/>
      <c r="E37" s="0"/>
      <c r="F37" s="0"/>
      <c r="G37" s="0"/>
    </row>
    <row r="38" customFormat="false" ht="12.8" hidden="false" customHeight="false" outlineLevel="0" collapsed="false">
      <c r="E38" s="0"/>
      <c r="F38" s="0"/>
      <c r="G38" s="0"/>
    </row>
    <row r="39" customFormat="false" ht="12.8" hidden="false" customHeight="false" outlineLevel="0" collapsed="false">
      <c r="E39" s="0"/>
      <c r="F39" s="0"/>
      <c r="G39" s="0"/>
    </row>
    <row r="40" customFormat="false" ht="12.8" hidden="false" customHeight="false" outlineLevel="0" collapsed="false">
      <c r="C40" s="42"/>
      <c r="E40" s="0"/>
      <c r="F40" s="0"/>
      <c r="G40" s="0"/>
    </row>
    <row r="41" customFormat="false" ht="12.8" hidden="false" customHeight="false" outlineLevel="0" collapsed="false">
      <c r="C41" s="42"/>
      <c r="E41" s="0"/>
      <c r="F41" s="0"/>
      <c r="G41" s="0"/>
    </row>
    <row r="42" customFormat="false" ht="12.8" hidden="false" customHeight="false" outlineLevel="0" collapsed="false">
      <c r="E42" s="0"/>
      <c r="F42" s="0"/>
      <c r="G42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119</TotalTime>
  <Application>LibreOffice/25.2.4.3$Linux_X86_64 LibreOffice_project/520$Build-3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en-GB</dc:language>
  <cp:lastModifiedBy/>
  <dcterms:modified xsi:type="dcterms:W3CDTF">2025-08-01T12:18:14Z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